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efaults" sheetId="3" state="visible" r:id="rId3"/>
    <sheet name="GF_Summary" sheetId="4" state="visible" r:id="rId4"/>
    <sheet name="Closure_Model" sheetId="5" state="visible" r:id="rId5"/>
    <sheet name="Exodus_Model" sheetId="6" state="visible" r:id="rId6"/>
    <sheet name="Growth_Model" sheetId="7" state="visible" r:id="rId7"/>
    <sheet name="Redistricting" sheetId="8" state="visible" r:id="rId8"/>
    <sheet name="Transport_Geo" sheetId="9" state="visible" r:id="rId9"/>
    <sheet name="Alternatives" sheetId="10" state="visible" r:id="rId10"/>
    <sheet name="Debt_Service" sheetId="11" state="visible" r:id="rId11"/>
    <sheet name="Runway" sheetId="12" state="visible" r:id="rId12"/>
    <sheet name="Scenarios" sheetId="13" state="visible" r:id="rId13"/>
    <sheet name="Tax_History" sheetId="14" state="visible" r:id="rId14"/>
    <sheet name="Demographics" sheetId="15" state="visible" r:id="rId15"/>
    <sheet name="School_Data" sheetId="16" state="visible" r:id="rId16"/>
    <sheet name="Facility_Plans" sheetId="17" state="visible" r:id="rId17"/>
    <sheet name="KY_Closures" sheetId="18" state="visible" r:id="rId18"/>
    <sheet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Enacted: 2026 Ky. Acts ch. 168 (HB 500), p. 20, archived in build/; an interim v5.0 draft wrongly moved this to $4,636; corrected here</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(LEGACY single-point inputs, superseded; the published closure model is the Closure_Model 972-scenario grid at its row 37)</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2026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128 students on the official 2024-25 roster: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B17+C17+Closure_Model!C40+3*54479.4-63000-136*(Assumptions!B6+500-Assumptions!B62)</f>
        <v/>
      </c>
      <c r="F34" s="21" t="inlineStr">
        <is>
          <t>$127,039 kept, plus half the fixed overhead positions ($107,052, Closure_Model C40) and three teachers at $54,479.40, minus $63,000 of busing, minus the statistical median of 136 missing students at $5,126 less the $400 supplies credit: the published -$308,207, the 82nd percentile of the 972-scenario grid; the weighted median is a $427,087 loss (Closure_Model row 50)</t>
        </is>
      </c>
    </row>
    <row r="35">
      <c r="A35" s="3" t="inlineStr">
        <is>
          <t>Growth default: 30 added students at the grid's low busing and supplies</t>
        </is>
      </c>
      <c r="B35" s="19">
        <f>30*(Assumptions!B6+500-400)</f>
        <v/>
      </c>
      <c r="F35" s="21" t="inlineStr">
        <is>
          <t>The published +$141,780 is the grid's weighted median itself (Growth_Model rows 17-19); at the central $500 busing and $700 supplies the same 30 students net $117,780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$427,087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approximately the SEEK base guarantee, and more with the formula's weights, every year, permanently. SEEK pays on prior-year average daily attendance (about 91 percent of end-of-year enrollment here); the mostly uncounted at-risk, exceptional-child, language, and transportation weights are worth more than that haircut.</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117/136/154)</t>
        </is>
      </c>
      <c r="B43" s="8" t="n">
        <v>117</v>
      </c>
      <c r="C43" s="8" t="n">
        <v>136</v>
      </c>
      <c r="D43" s="8" t="n">
        <v>154</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ten-year average of 22; end-of-year 141/128/115 across 2023-24 to 2025-26.</t>
        </is>
      </c>
    </row>
    <row r="44">
      <c r="A44" s="3" t="inlineStr">
        <is>
          <t>SEEK add-ons lost per leaver</t>
        </is>
      </c>
      <c r="B44" s="10" t="n">
        <v>0</v>
      </c>
      <c r="C44" s="8" t="n">
        <v>500</v>
      </c>
      <c r="D44" s="8" t="n">
        <v>1000</v>
      </c>
      <c r="E44" s="2" t="inlineStr">
        <is>
          <t>The at-risk weight alone carries the central leg: 15% of base per free-lunch child, about $500 per average student at a ~72% FRL school; exceptional-child, language, and prorated transportation weights sit above it, mostly uncounted</t>
        </is>
      </c>
    </row>
    <row r="47">
      <c r="A47" s="3" t="inlineStr">
        <is>
          <t>Central case: net yearly effect</t>
        </is>
      </c>
      <c r="B47" s="19">
        <f>C39+C40+C41*54479.4-C42-C43*(Assumptions!B6+C44-Assumptions!B62)</f>
        <v/>
      </c>
      <c r="C47" s="2" t="inlineStr">
        <is>
          <t>-$409,446: the central case itself loses money, about 16 percent of the structural deficit added, not removed</t>
        </is>
      </c>
    </row>
    <row r="48">
      <c r="A48" s="3" t="inlineStr">
        <is>
          <t>Unfavorable tail (all levers adverse)</t>
        </is>
      </c>
      <c r="B48" s="9">
        <f>B39+B40+B41*54479.4-D42-D43*(Assumptions!B6+D44-Assumptions!B62)</f>
        <v/>
      </c>
      <c r="C48" s="2" t="inlineStr">
        <is>
          <t>-$846,285 a year: the closure loses money</t>
        </is>
      </c>
    </row>
    <row r="49">
      <c r="A49" s="3" t="inlineStr">
        <is>
          <t>Favorable tail (all levers favorable)</t>
        </is>
      </c>
      <c r="B49" s="9">
        <f>D39+D40+D41*54479.4-B42-B43*(Assumptions!B6+B44-Assumptions!B62)</f>
        <v/>
      </c>
      <c r="C49" s="2" t="inlineStr">
        <is>
          <t>-$9,860 a year: even the grid's best case (every lever at its closure-friendliest at once) still loses money, roughly $800,000 to $1 million short of the plan's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$4,626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(117/136/154), with the signed-survey floor of 74 (the 70 signed children spread over their twelve class cohorts, 5.83 per class, carried 12.62 effective years) kept as hard evidence below every priced leg. v5.0 lever weights: triangular 1-2-1 on every three-leg lever, uniform on teachers. Weighted median -$427,087 (the median scenario LOSES money); middle half -$518,405 to -$338,727; EVERY weighted scenario is negative, the best case still loses $9,860; range -$846,285 to -$9,860 (unweighted median -$425,053).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(SAAR 2025-26 end-of-year count; the 2024-25 count of 128 anchors the capacity and cost comparisons)</t>
        </is>
      </c>
      <c r="B8" s="10" t="n">
        <v>115</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115</t>
        </is>
      </c>
      <c r="D18" s="25" t="inlineStr">
        <is>
          <t>Per year, full feeder</t>
        </is>
      </c>
      <c r="E18" s="25" t="inlineStr">
        <is>
          <t>$/yr (feeder)</t>
        </is>
      </c>
      <c r="F18" s="25" t="inlineStr">
        <is>
          <t>Basis</t>
        </is>
      </c>
    </row>
    <row r="19">
      <c r="A19" s="3" t="inlineStr">
        <is>
          <t>Band low (25th pct)</t>
        </is>
      </c>
      <c r="B19" s="10" t="n">
        <v>0.42975</v>
      </c>
      <c r="C19" s="11">
        <f>ROUND(B19*$B$8,0)</f>
        <v/>
      </c>
      <c r="D19" s="11">
        <f>ROUND(B19*$B$9*$B$15,0)</f>
        <v/>
      </c>
      <c r="E19" s="9">
        <f>D19*(Assumptions!B6+500)</f>
        <v/>
      </c>
      <c r="F19" s="21" t="inlineStr">
        <is>
          <t>Middle half of the corrected posterior; the closure grid's low leg</t>
        </is>
      </c>
    </row>
    <row r="20">
      <c r="A20" s="3" t="inlineStr">
        <is>
          <t>Median</t>
        </is>
      </c>
      <c r="B20" s="10" t="n">
        <v>0.50075</v>
      </c>
      <c r="C20" s="11">
        <f>ROUND(B20*$B$8,0)</f>
        <v/>
      </c>
      <c r="D20" s="11">
        <f>ROUND(B20*$B$9*$B$15,0)</f>
        <v/>
      </c>
      <c r="E20" s="9">
        <f>D20*(Assumptions!B6+500)</f>
        <v/>
      </c>
      <c r="F20" s="21" t="inlineStr">
        <is>
          <t>The closure grid's central leg and the calculator default</t>
        </is>
      </c>
    </row>
    <row r="21">
      <c r="A21" s="3" t="inlineStr">
        <is>
          <t>Band high (75th pct)</t>
        </is>
      </c>
      <c r="B21" s="10" t="n">
        <v>0.56725</v>
      </c>
      <c r="C21" s="11">
        <f>ROUND(B21*$B$8,0)</f>
        <v/>
      </c>
      <c r="D21" s="11">
        <f>ROUND(B21*$B$9*$B$15,0)</f>
        <v/>
      </c>
      <c r="E21" s="9">
        <f>D21*(Assumptions!B6+500)</f>
        <v/>
      </c>
      <c r="F21" s="21" t="inlineStr">
        <is>
          <t>The closure grid's high leg</t>
        </is>
      </c>
    </row>
    <row r="22">
      <c r="A22" s="3" t="inlineStr">
        <is>
          <t>95th percentile bound</t>
        </is>
      </c>
      <c r="B22" s="10" t="n">
        <v>0.65525</v>
      </c>
      <c r="C22" s="11">
        <f>ROUND(B22*$B$8,0)</f>
        <v/>
      </c>
      <c r="D22" s="11">
        <f>ROUND(B22*$B$9*$B$15,0)</f>
        <v/>
      </c>
      <c r="E22" s="9">
        <f>D22*(Assumptions!B6+500)</f>
        <v/>
      </c>
      <c r="F22" s="21" t="inlineStr">
        <is>
          <t>Not priced in the grid; the honest upper bound</t>
        </is>
      </c>
    </row>
    <row r="24">
      <c r="A24" s="21" t="inlineStr">
        <is>
          <t>Leave shares are the posterior of a response-propensity model: across the sampled window the raw split is 62 leavers to 13 stayers; leaving families are assumed 3.3x to about 9x likelier to answer (log-normal prior centered on 3.5x and FLOORED at 3.3x, the lower of Pew's high-salience benchmarks, chosen for a small, emotionally charged respondent pool reached through a campaign-circulated form), and the shares above are the resulting quartiles. Class-year codes are not assumed accurate; the evidence window spans current enrollment plus the next three entering classes (62 leavers to 13 stayers of 75), so a miscoded child counts either way, and the correction still assumes the largest silent pool the coding allows, leaning the band low. Corroboration outside the survey: SAAR 2025-26 kindergarten of 12 against a ten-year average of 22;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or 1 per 50, with cost legs $20,000/$28,500/$37,000 (staff-per and staff-cost enumerated as independent levers); busing $0/$500/$1,000 per recruit; marginal cost $400/$700/$1,000; SEEK add-ons $0/$500/$1,000. Weighted median +$141,780, which is also the site default (30 students at $4,726);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115 arriving students trigger the same class caps at the receiving schools, adding sections in several grades, which is exactly why the closure's net effect runs minus $846,285 to minus $9,860 with a weighted median of minus $427,087,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-$427,087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(-$409,446); the weighted median loses $427,087</t>
        </is>
      </c>
    </row>
    <row r="47">
      <c r="A47" s="3" t="inlineStr">
        <is>
          <t>Closure model median (v5.0 weighted grid)</t>
        </is>
      </c>
      <c r="B47" s="8" t="n">
        <v>-427087</v>
      </c>
      <c r="C47" s="9">
        <f>B47*(1-(1+B$40)^-B$41)/B$40</f>
        <v/>
      </c>
      <c r="F47" s="21" t="inlineStr">
        <is>
          <t>Closure_Model tab, 972-combination grid; the median scenario loses money</t>
        </is>
      </c>
    </row>
    <row r="48">
      <c r="A48" s="3" t="inlineStr">
        <is>
          <t>Closure model best case (favorable tail)</t>
        </is>
      </c>
      <c r="B48" s="8" t="n">
        <v>-9860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$1.13M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$21.2 million in the conservative case and $24.9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a -$409,446 yearly loss,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even the -$9,860 best case drains reserves faster than status quo, the -$427,087 weighted median much faster; every weighted scenario loses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-427087</v>
      </c>
      <c r="C6" s="9">
        <f>Runway!E7</f>
        <v/>
      </c>
      <c r="D6" s="2" t="inlineStr">
        <is>
          <t>Unpublished</t>
        </is>
      </c>
      <c r="E6" s="2" t="inlineStr">
        <is>
          <t>Closure vote; the weighted median LOSES $427,087 a year (B6 is the grid median; the legacy single-point Closure_Model!B20 is superseded); the grid central case itself loses $409,446, and even the best-case tail still loses $9,860 a year;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drains reserves faster than doing nothing (Runway rows 5-9);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-$415,000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115 students displaced, the 2025-26 end-of-year count)</t>
        </is>
      </c>
      <c r="B34" s="19">
        <f>800000/Exodus_Model!B8</f>
        <v/>
      </c>
      <c r="C34" s="19">
        <f>1000000/Exodus_Model!B8</f>
        <v/>
      </c>
    </row>
    <row r="35">
      <c r="A35" s="3" t="inlineStr">
        <is>
          <t>This report's own model, per displaced student: median / central / best case</t>
        </is>
      </c>
      <c r="B35" s="9">
        <f>-427087/Exodus_Model!B8</f>
        <v/>
      </c>
      <c r="C35" s="9">
        <f>Closure_Model!B47/Exodus_Model!B8</f>
        <v/>
      </c>
      <c r="D35" s="9">
        <f>Closure_Model!B49/Exodus_Model!B8</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$6,957-$8,696 requirement.</t>
        </is>
      </c>
      <c r="B44" s="8" t="n">
        <v>818</v>
      </c>
      <c r="C44" s="19">
        <f>Closure_Model!B47/Exodus_Model!B8</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2026-08-20T04:13:19Z</dcterms:created>
  <dcterms:modified xsi:type="dcterms:W3CDTF">2026-08-20T04:13:19Z</dcterms:modified>
</cp:coreProperties>
</file>