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4636</v>
      </c>
      <c r="C6" s="2" t="inlineStr">
        <is>
          <t>Enacted 2026-2028 KY budget; corrected in v5.0 from the House-version $4,626</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PRE-v5 CONVENTION (superseded by the Exodus_Model tab; kept for the version record)</t>
        </is>
      </c>
    </row>
    <row r="23">
      <c r="A23" s="3" t="inlineStr">
        <is>
          <t>Per-leaver funding: SEEK base + typical add-ons</t>
        </is>
      </c>
      <c r="B23" s="9">
        <f>Assumptions!B6+500</f>
        <v/>
      </c>
      <c r="F23" s="2" t="inlineStr">
        <is>
          <t>$5,136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$4,636 base / $5,136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scaled savings granted (teachers included, half the fixed overhead) + the statistical median of missing students</t>
        </is>
      </c>
      <c r="B34" s="19">
        <f>B17+C17+Closure_Model!C40+3*54479.4-63000-167*(Assumptions!B6+500-Assumptions!B62)</f>
        <v/>
      </c>
      <c r="F34" s="21">
        <f> $127,039 kept, plus half the fixed overhead positions ($107,052, Closure_Model C40) and three teachers at $54,479.40, minus $63,000 of busing, minus the statistical median of 167 missing students at $5,136 less the $400 supplies credit: the published -$456,383, the 59th percentile of the 3,888-scenario grid; the weighted median is a $523,830 loss (Closure_Model row 50)</f>
        <v/>
      </c>
    </row>
    <row r="35">
      <c r="A35" s="3" t="inlineStr">
        <is>
          <t>Growth default: 30 added students at the grid's low busing and supplies</t>
        </is>
      </c>
      <c r="B35" s="19">
        <f>30*(Assumptions!B6+500-400)</f>
        <v/>
      </c>
      <c r="F35" s="21" t="inlineStr">
        <is>
          <t>The published +$142,080, within $140 of the 19,683-scenario grid's weighted median of $142,220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$4,236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$1,665,325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$4,236)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3,888-scenario grid at row 37, median a $523,830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SEVEN LEVERS, 3,888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missing from the rolls at steady state (grid legs 74/137/167/194)</t>
        </is>
      </c>
      <c r="B43" s="10" t="n">
        <v>74</v>
      </c>
      <c r="C43" s="8" t="n">
        <v>137</v>
      </c>
      <c r="D43" s="8" t="n">
        <v>194</v>
      </c>
      <c r="E43" s="2" t="inlineStr">
        <is>
          <t>From the August 2026 school-choice survey (anonymized in build/) and build/exodus_model.py: 74 = the floor, 31 signed households' 70 children at 5.83 per class x 12.62 effective years of the district's own grade-to-grade survival; 137/167/194 = the response-bias-corrected posterior quartiles at the class midpoint. The floor is the grid's low end: fewer leavers than the signed households account for is not a priced scenario. Exits free and funded under HB 563. The state's SAAR files corroborate: kindergarten 12 in 2025-26 against a 21-31 norm;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Property-value loss (zone tax base)</t>
        </is>
      </c>
      <c r="B45" s="10" t="n">
        <v>0</v>
      </c>
      <c r="C45" s="8" t="n">
        <v>47500</v>
      </c>
      <c r="D45" s="8" t="n">
        <v>95000</v>
      </c>
      <c r="E45"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19">
        <f>C39+C40+C41*54479.4-C42-C43*(Assumptions!B6+C44-Assumptions!B62)-C45</f>
        <v/>
      </c>
      <c r="C47" s="2" t="inlineStr">
        <is>
          <t>-$463,042: the central case itself loses money, about 17 percent of the structural deficit added, not removed</t>
        </is>
      </c>
    </row>
    <row r="48">
      <c r="A48" s="3" t="inlineStr">
        <is>
          <t>Unfavorable tail (all levers adverse)</t>
        </is>
      </c>
      <c r="B48" s="9">
        <f>B39+B40+B41*54479.4-D42-D43*(Assumptions!B6+D44-Assumptions!B62)-D45</f>
        <v/>
      </c>
      <c r="C48" s="2" t="inlineStr">
        <is>
          <t>-$1,247,265 a year: the closure loses money</t>
        </is>
      </c>
    </row>
    <row r="49">
      <c r="A49" s="3" t="inlineStr">
        <is>
          <t>Favorable tail (all levers favorable)</t>
        </is>
      </c>
      <c r="B49" s="9">
        <f>D39+D40+D41*54479.4-B42-B43*(Assumptions!B6+B44-Assumptions!B62)-B45</f>
        <v/>
      </c>
      <c r="C49" s="2" t="inlineStr">
        <is>
          <t>+$171,118 a year: the grid's best case (every lever at its closure-friendliest, only the survey-floor leavers the signed households account for), still below the plan's $800K-$1M requirement</t>
        </is>
      </c>
    </row>
    <row r="50">
      <c r="A50" s="21" t="inlineStr">
        <is>
          <t>Distribution of all 3,888 combinations enumerated by build/closure_grid.py: capture, fixed-position, add-ons, property and busing levers take three values each, teachers four (0/1/2/3) and missing students four (74/137/167/194): 3^5 x 4 x 4 = 3,888. Each missing student is priced at the enacted FY2027 SEEK base of $4,636 plus the add-ons lever, minus the $400 of supplies that stop being spent (Assumptions row 62, the same figure the growth model charges each recruit); teacher savings appear ONLY on the teachers-cut lever, so staffing is never counted twice. v5.0 lever weights: triangular 1-2-1 on the five levers with a documented central setting; uniform on teachers; survey-anchored 2-2-2-1 on missing students, the signed-survey floor held as the low end. Weighted median -$523,830 (the median scenario LOSES money); middle half -$681,643 to -$314,250; 99 percent of weighted scenarios negative; range -$1,247,265 to +$171,118 (unweighted median -$562,162).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Kindergarten class years holding leavers</t>
        </is>
      </c>
      <c r="B8" s="10" t="n">
        <v>12</v>
      </c>
    </row>
    <row r="9">
      <c r="A9" s="3" t="inlineStr">
        <is>
          <t>Leavers per kindergarten class</t>
        </is>
      </c>
      <c r="B9" s="11">
        <f>C6/B8</f>
        <v/>
      </c>
      <c r="F9" s="2" t="inlineStr">
        <is>
          <t>5.83 out of every class of 19 to 24 (recent SAAR grade range)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LADDER: STUDENTS MISSING FROM THE ROLLS EACH YEAR, AND THE SEEK LOST WITH THEM</t>
        </is>
      </c>
    </row>
    <row r="18">
      <c r="A18" s="25" t="inlineStr">
        <is>
          <t>Estimate</t>
        </is>
      </c>
      <c r="B18" s="25" t="inlineStr">
        <is>
          <t>Leave share</t>
        </is>
      </c>
      <c r="C18" s="25" t="inlineStr">
        <is>
          <t>Kids/yr (class of 19)</t>
        </is>
      </c>
      <c r="D18" s="25" t="inlineStr">
        <is>
          <t>Kids/yr (class of 24)</t>
        </is>
      </c>
      <c r="E18" s="25" t="inlineStr">
        <is>
          <t>$/yr range</t>
        </is>
      </c>
      <c r="F18" s="25" t="inlineStr">
        <is>
          <t>Basis</t>
        </is>
      </c>
    </row>
    <row r="19">
      <c r="A19" s="3" t="inlineStr">
        <is>
          <t>Floor</t>
        </is>
      </c>
      <c r="B19" s="2" t="inlineStr">
        <is>
          <t>signed only</t>
        </is>
      </c>
      <c r="C19" s="11">
        <f>ROUND($B$9*$B$15,0)</f>
        <v/>
      </c>
      <c r="D19" s="11">
        <f>C19</f>
        <v/>
      </c>
      <c r="E19" s="9">
        <f>$B$9*$B$15*(Assumptions!B6+500)</f>
        <v/>
      </c>
      <c r="F19" s="21" t="inlineStr">
        <is>
          <t>The 31 signed households alone: no statistics. $378,090 a year.</t>
        </is>
      </c>
    </row>
    <row r="20">
      <c r="A20" s="3" t="inlineStr">
        <is>
          <t>Band low (25th pct)</t>
        </is>
      </c>
      <c r="B20" s="10" t="n">
        <v>0.50575</v>
      </c>
      <c r="C20" s="11">
        <f>ROUND(B20*19*$B$15,0)</f>
        <v/>
      </c>
      <c r="D20" s="11">
        <f>ROUND(B20*24*$B$15,0)</f>
        <v/>
      </c>
      <c r="E20" s="9">
        <f>B20*19*$B$15*(Assumptions!B6+500)</f>
        <v/>
      </c>
      <c r="F20" s="9">
        <f>B20*24*$B$15*(Assumptions!B6+500)</f>
        <v/>
      </c>
    </row>
    <row r="21">
      <c r="A21" s="3" t="inlineStr">
        <is>
          <t>Median</t>
        </is>
      </c>
      <c r="B21" s="10" t="n">
        <v>0.61425</v>
      </c>
      <c r="C21" s="11">
        <f>ROUND(B21*19*$B$15,0)</f>
        <v/>
      </c>
      <c r="D21" s="11">
        <f>ROUND(B21*24*$B$15,0)</f>
        <v/>
      </c>
      <c r="E21" s="9">
        <f>B21*19*$B$15*(Assumptions!B6+500)</f>
        <v/>
      </c>
      <c r="F21" s="9">
        <f>B21*24*$B$15*(Assumptions!B6+500)</f>
        <v/>
      </c>
    </row>
    <row r="22">
      <c r="A22" s="3" t="inlineStr">
        <is>
          <t>Band high (75th pct)</t>
        </is>
      </c>
      <c r="B22" s="10" t="n">
        <v>0.71575</v>
      </c>
      <c r="C22" s="11">
        <f>ROUND(B22*19*$B$15,0)</f>
        <v/>
      </c>
      <c r="D22" s="11">
        <f>ROUND(B22*24*$B$15,0)</f>
        <v/>
      </c>
      <c r="E22" s="9">
        <f>B22*19*$B$15*(Assumptions!B6+500)</f>
        <v/>
      </c>
      <c r="F22" s="9">
        <f>B22*24*$B$15*(Assumptions!B6+500)</f>
        <v/>
      </c>
    </row>
    <row r="23">
      <c r="A23" s="3" t="inlineStr">
        <is>
          <t>95th percentile bound</t>
        </is>
      </c>
      <c r="B23" s="10" t="n">
        <v>0.83375</v>
      </c>
      <c r="C23" s="11">
        <f>ROUND(B23*19*$B$15,0)</f>
        <v/>
      </c>
      <c r="D23" s="11">
        <f>ROUND(B23*24*$B$15,0)</f>
        <v/>
      </c>
      <c r="E23" s="9">
        <f>B23*19*$B$15*(Assumptions!B6+500)</f>
        <v/>
      </c>
      <c r="F23" s="9">
        <f>B23*24*$B$15*(Assumptions!B6+500)</f>
        <v/>
      </c>
    </row>
    <row r="25">
      <c r="A25" s="21" t="inlineStr">
        <is>
          <t>Leave shares are the posterior of a response-propensity model: among enrolled surveyed children the raw split is 20 leavers to 4 stayers; leaving families are assumed 1x to 8x likelier to answer (log-normal prior centered on 3x), and the shares above are the resulting quartiles. Corroboration outside the survey: SAAR 2025-26 kindergarten of 12 against a 21-31 norm; end-of-year 141 / 128 / 115 across 2023-24 to 2025-26. Losses build from six grade cohorts in year one to all thirteen by year eight (141 of 169 cohort-years across a 13-year window).</t>
        </is>
      </c>
    </row>
    <row r="27">
      <c r="A27" s="4" t="inlineStr">
        <is>
          <t>COST RESPONSE: WHAT STOPS BEING SPENT AS STUDENTS LEAVE</t>
        </is>
      </c>
    </row>
    <row r="28">
      <c r="A28" s="3" t="inlineStr">
        <is>
          <t>Supplies and materials per departed student (scales with students; the growth model charges recruits the same figure)</t>
        </is>
      </c>
      <c r="B28" s="26">
        <f>Assumptions!B62</f>
        <v/>
      </c>
    </row>
    <row r="29">
      <c r="A29" s="21" t="inlineStr">
        <is>
          <t>Teacher savings are priced ONLY on the Closure_Model teachers-cut lever (the district's own 0 to 3 positions), never here, so staffing savings cannot be counted twice. Even with the supplies credit and the teacher lever at its friendliest, 99 percent of priced closure scenarios lose money.</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+$142,080; middle half +$94,720 to +$183,354; floor +$4,131; ceiling +$387,804;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$1,247,265 to plus $171,118 with a weighted median of minus $523,830,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$4,236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-$523,830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$4,236 each; gap re-based on the trending fiscal 2026 ledger; capacity anchored on the district advisor's June 2026 presentation)</t>
        </is>
      </c>
    </row>
    <row r="31">
      <c r="A31" s="3" t="inlineStr">
        <is>
          <t>Plan levers at the website defaults: 275 of 550 leakage students recovered (275 x $4,236 = $1,164,900)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$4,236 net-of-supplies cell in B49 legs. Every 100 recovered add $423,600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$423,600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(-$463,042); the weighted median loses $523,830</t>
        </is>
      </c>
    </row>
    <row r="47">
      <c r="A47" s="3" t="inlineStr">
        <is>
          <t>Closure model median (v5.0 weighted grid)</t>
        </is>
      </c>
      <c r="B47" s="8" t="n">
        <v>-523830</v>
      </c>
      <c r="C47" s="9">
        <f>B47*(1-(1+B$40)^-B$41)/B$40</f>
        <v/>
      </c>
      <c r="F47" s="21" t="inlineStr">
        <is>
          <t>Closure_Model tab, 3,888-combination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at the +$171,118 best case FY2029 holds a modest cushion; at the -$523,830 weighted median the reserves go MUCH faster than status quo; 99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-523830</v>
      </c>
      <c r="C6" s="9">
        <f>Runway!E7</f>
        <v/>
      </c>
      <c r="D6" s="2" t="inlineStr">
        <is>
          <t>Unpublished</t>
        </is>
      </c>
      <c r="E6" s="2" t="inlineStr">
        <is>
          <t>Closure vote; the weighted median LOSES $523,830 a year (B6 is the grid median; the legacy single-point Closure_Model!B20 is superseded); the grid central case itself loses $463,042, and even the +$171,118 best-case tail covers only 6.5% of the $2.65M gap;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94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-523830/Assumptions!B11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2026-08-17T13:46:35Z</dcterms:created>
  <dcterms:modified xmlns:dcterms="http://purl.org/dc/terms/" xmlns:xsi="http://www.w3.org/2001/XMLSchema-instance" xsi:type="dcterms:W3CDTF">2026-08-17T13:46:35Z</dcterms:modified>
</cp:coreProperties>
</file>