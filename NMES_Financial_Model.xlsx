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9" fontId="5"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secretary, extended day)</t>
        </is>
      </c>
      <c r="B51" s="14" t="n">
        <v>131724</v>
      </c>
      <c r="C51" s="2" t="inlineStr">
        <is>
          <t>MEASURED v3.9: district FY2026 working budget, location 090, General Fund program 077, excl on-behalf. Was a $175,000 estimate through v3.8.</t>
        </is>
      </c>
    </row>
    <row r="52">
      <c r="A52" s="3" t="inlineStr">
        <is>
          <t>Plant operations avoided (custodial + utilities, sanitation, water)</t>
        </is>
      </c>
      <c r="B52" s="14" t="n">
        <v>96107</v>
      </c>
      <c r="C52" s="2" t="inlineStr">
        <is>
          <t>MEASURED v3.9: same source, custodial program 087 $37,333 + plant program 987 $58,774. B51+B52 = $227,831, the grid's mothballed case. Was a $115,000 estimate through v3.8.</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V3.9 TWO-TAILED SENSITIVITY: SEVEN LEVERS, 2,916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Positions eliminated (net of re-created sections)</t>
        </is>
      </c>
      <c r="B39" s="10" t="n">
        <v>2</v>
      </c>
      <c r="C39" s="10" t="n">
        <v>3</v>
      </c>
      <c r="D39" s="10" t="n">
        <v>5</v>
      </c>
      <c r="E39" s="2" t="inlineStr">
        <is>
          <t>Class caps: receiving schools add ~4 sections while NMES's 9 dissolve</t>
        </is>
      </c>
    </row>
    <row r="40">
      <c r="A40" s="3" t="inlineStr">
        <is>
          <t>GF cost per position</t>
        </is>
      </c>
      <c r="B40" s="8" t="n">
        <v>50000</v>
      </c>
      <c r="C40" s="8" t="n">
        <v>60000</v>
      </c>
      <c r="D40" s="8" t="n">
        <v>75000</v>
      </c>
      <c r="E40" s="2" t="inlineStr">
        <is>
          <t>Published salary schedule + on-behalf structure</t>
        </is>
      </c>
    </row>
    <row r="41">
      <c r="A41" s="3" t="inlineStr">
        <is>
          <t>Fixed avoided (reassigned / mothballed / sold)</t>
        </is>
      </c>
      <c r="B41" s="8" t="n">
        <v>58774</v>
      </c>
      <c r="C41" s="8" t="n">
        <v>227831</v>
      </c>
      <c r="D41" s="8" t="n">
        <v>276928</v>
      </c>
      <c r="E41" s="2" t="inlineStr">
        <is>
          <t>MEASURED v3.9 from the district FY2026 working budget, location 090, General Fund, excl on-behalf: school admin (2400) $132,744 + plant (2600) $96,107 = $228,851 vs the $230,000 mothballed lever, a 0.5% miss; adding the library/media line $49,097 gives $277,948 vs the $290,000 sold lever. NOTE: $230,000 is this grid FLOOR and assumes principal, secretary, custodian and utilities are all eliminated rather than reassigned; a redeployment case (utilities only, $58,774) is not in the grid.</t>
        </is>
      </c>
    </row>
    <row r="42">
      <c r="A42" s="3" t="inlineStr">
        <is>
          <t>Added busing</t>
        </is>
      </c>
      <c r="B42" s="8" t="n">
        <v>100000</v>
      </c>
      <c r="C42" s="8" t="n">
        <v>137500</v>
      </c>
      <c r="D42" s="8" t="n">
        <v>250000</v>
      </c>
      <c r="E42" s="2" t="inlineStr">
        <is>
          <t>110 sq mi zone (federal SABS); worst-reimbursed budget line. Treated as net new cost with nothing in the school's own code to offset it: student transportation coded to location 090 in the FY2026 working budget is $2,000, while location 901 is 100 percent function 2700 at $2,688,247, the only material transportation coding in the district.</t>
        </is>
      </c>
    </row>
    <row r="43">
      <c r="A43" s="3" t="inlineStr">
        <is>
          <t>Students leaving district</t>
        </is>
      </c>
      <c r="B43" s="10" t="n">
        <v>0</v>
      </c>
      <c r="C43" s="10" t="n">
        <v>10</v>
      </c>
      <c r="D43" s="10" t="n">
        <v>30</v>
      </c>
      <c r="E43" s="2" t="inlineStr">
        <is>
          <t>x $4,626 SEEK; Paris Ind adjacent under HB 563; Millersburg precedent</t>
        </is>
      </c>
    </row>
    <row r="44">
      <c r="A44" s="3" t="inlineStr">
        <is>
          <t>Capacity debt service triggered</t>
        </is>
      </c>
      <c r="B44" s="10" t="n">
        <v>0</v>
      </c>
      <c r="C44" s="8" t="n">
        <v>115000</v>
      </c>
      <c r="D44" s="8" t="n">
        <v>231000</v>
      </c>
      <c r="E44" s="2" t="inlineStr">
        <is>
          <t>CRES 103 over approved rating; 2021 plan prices its kitchen/cafeteria deficient today</t>
        </is>
      </c>
    </row>
    <row r="45">
      <c r="A45" s="3" t="inlineStr">
        <is>
          <t>Assessment erosion, district share</t>
        </is>
      </c>
      <c r="B45" s="10" t="n">
        <v>0</v>
      </c>
      <c r="C45" s="8" t="n">
        <v>40000</v>
      </c>
      <c r="D45" s="8" t="n">
        <v>95000</v>
      </c>
      <c r="E45" s="2" t="inlineStr">
        <is>
          <t>Millersburg-calibrated; PVA records ask pending</t>
        </is>
      </c>
    </row>
    <row r="47">
      <c r="A47" s="3" t="inlineStr">
        <is>
          <t>Central case: net yearly effect</t>
        </is>
      </c>
      <c r="B47" s="23">
        <f>C41+C39*C40-C42-C43*Assumptions!B6-C44-C45</f>
        <v/>
      </c>
      <c r="C47" s="2" t="inlineStr">
        <is>
          <t>$69,071: about 2.6 percent of the structural deficit</t>
        </is>
      </c>
    </row>
    <row r="48">
      <c r="A48" s="3" t="inlineStr">
        <is>
          <t>Unfavorable tail (all levers adverse)</t>
        </is>
      </c>
      <c r="B48" s="9">
        <f>B41+B39*B40-D42-D43*Assumptions!B6-D44-D45</f>
        <v/>
      </c>
      <c r="C48" s="2" t="inlineStr">
        <is>
          <t>-$556,006 a year: the closure loses money</t>
        </is>
      </c>
    </row>
    <row r="49">
      <c r="A49" s="3" t="inlineStr">
        <is>
          <t>Favorable tail (all levers favorable)</t>
        </is>
      </c>
      <c r="B49" s="9">
        <f>D41+D39*D40-B42-B43*Assumptions!B6-B44-B45</f>
        <v/>
      </c>
      <c r="C49" s="2" t="inlineStr">
        <is>
          <t>+$551,928 a year: the ceiling, and still below the plan's $800K-$1M requirement</t>
        </is>
      </c>
    </row>
    <row r="50">
      <c r="A50" s="21" t="inlineStr">
        <is>
          <t>Distribution of all 2,916 combinations, equal weights, enumerated by build/closure_grid.py: positions take four values (2, 3, 4, 5) and the six other levers three each (4 x 3^6 = 2,916). Median +$21,571; middle half -$104,726 to +$146,274; 45.06 percent (1,314 of 2,916, published as 45 percent) of scenarios negative. One-time transition costs $100K-$300K in year one are additional. REBUILT IN v3.9: the fixed-avoided lever previously took two estimated values ($230,000 mothballed, $290,000 sold), both of which assumed every fixed position at the school is eliminated. It now takes three measured values from the district FY2026 working budget, location 090, General Fund, excl on-behalf: $58,774 (staff reassigned to other buildings, utilities only), $227,831 (mothballed: school admin $131,724 + custodial $37,333 + plant $58,774) and $276,928 (sold: the above plus library and media $49,097). Adding the reassignment case moved the median from +$91,240 to +$21,571 and the negative share from 28.8 to 45.1 percent.</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District-wide recruitment beyond NMES's 46 seats (homeschool, private-school, nonresident incentives; v3.8)</t>
        </is>
      </c>
      <c r="B14" s="18">
        <f>25*(Assumptions!B6-Assumptions!B62)</f>
        <v/>
      </c>
      <c r="C14" s="18">
        <f>50*(Assumptions!B6-Assumptions!B62)</f>
        <v/>
      </c>
      <c r="D14" s="2" t="inlineStr">
        <is>
          <t>25-50 additional students at $4,226 net; pool measured on Redistricting rows 116-135 (259 registered homeschoolers, ACS pool ~1,135, net import already 189); 62 open seats exist at Bourbon Central's approved rating</t>
        </is>
      </c>
      <c r="E14" s="2" t="inlineStr">
        <is>
          <t>New revenue</t>
        </is>
      </c>
      <c r="F14" s="2" t="inlineStr">
        <is>
          <t>Medium; needs an enrollment marketing plan and incentive design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row r="25">
      <c r="A25" s="21" t="inlineStr">
        <is>
          <t>Reading: raw row sums run about $1.6M to $2.9M;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row r="27">
      <c r="A27" s="4" t="inlineStr">
        <is>
          <t>THE GROWTH PATH: THE SAME MENU AS A DISTRICT-WIDE RECOVERY PLAN (v3.8; backs the site card and Section 9)</t>
        </is>
      </c>
    </row>
    <row r="28">
      <c r="A28" s="3" t="inlineStr">
        <is>
          <t>Move 1: inspect fixed costs, starting with administration (attrition, admin restraint, transport, reimbursements, energy, shared services)</t>
        </is>
      </c>
      <c r="B28" s="23">
        <f>SUM(B7:B12)</f>
        <v/>
      </c>
      <c r="C28" s="23">
        <f>SUM(C7:C12)</f>
        <v/>
      </c>
    </row>
    <row r="29">
      <c r="A29" s="3" t="inlineStr">
        <is>
          <t>Move 2: grow enrollment instead of shrinking it (attendance recovery, fill NMES, district-wide recruitment)</t>
        </is>
      </c>
      <c r="B29" s="23">
        <f>B6+B13+B14</f>
        <v/>
      </c>
      <c r="C29" s="23">
        <f>C6+C13+C14</f>
        <v/>
      </c>
    </row>
    <row r="30">
      <c r="A30" s="3" t="inlineStr">
        <is>
          <t>Move 3: the honest revenue conversation, year one (4 percent option plus delinquency; compounds by year three; recallable menu beyond it on Tax_History rows 70-91)</t>
        </is>
      </c>
      <c r="B30" s="23">
        <f>B4+B5</f>
        <v/>
      </c>
      <c r="C30" s="23">
        <f>C4+C5</f>
        <v/>
      </c>
    </row>
    <row r="31">
      <c r="A31" s="3" t="inlineStr">
        <is>
          <t>Growth plan total (equals the raw sum above; the published band is the conservative cut of the same rows)</t>
        </is>
      </c>
      <c r="B31" s="23">
        <f>B28+B29+B30</f>
        <v/>
      </c>
      <c r="C31" s="23">
        <f>C28+C29+C30</f>
        <v/>
      </c>
    </row>
    <row r="32">
      <c r="A3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v3.9 closure model's median ($21,571) and central case ($69,071)</t>
        </is>
      </c>
    </row>
    <row r="47">
      <c r="A47" s="3" t="inlineStr">
        <is>
          <t>Closure model median (v3.9 two-tailed grid)</t>
        </is>
      </c>
      <c r="B47" s="8" t="n">
        <v>21571</v>
      </c>
      <c r="C47" s="9">
        <f>B47*(1-(1+B$40)^-B$41)/B$40</f>
        <v/>
      </c>
      <c r="F47" s="21" t="inlineStr">
        <is>
          <t>Closure_Model tab, 2,916-combination grid</t>
        </is>
      </c>
    </row>
    <row r="48">
      <c r="A48" s="3" t="inlineStr">
        <is>
          <t>Closure model best case (v3.9 favorable tail)</t>
        </is>
      </c>
      <c r="B48" s="8" t="n">
        <v>551928</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B6-GF_Summary!$D$16+0.5*Alternatives!$B$20</f>
        <v/>
      </c>
      <c r="D6" s="9">
        <f>C6-GF_Summary!$D$16+Alternatives!$B$20</f>
        <v/>
      </c>
      <c r="E6" s="9">
        <f>D6-GF_Summary!$D$16+Alternatives!$B$20</f>
        <v/>
      </c>
    </row>
    <row r="7">
      <c r="A7" s="3" t="inlineStr">
        <is>
          <t>Closure only (v3.9 central case, $69,071,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(v3.9): at the +$551,928 best case FY2029 ends near $1.4M; at the +$21,571 median the reserves are gone on essentially the status-quo schedule; in the 45 percent of scenarios that lose money, sooner than status quo.</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Alternatives!B20</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91"/>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6"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38" t="n">
        <v>0.887637</v>
      </c>
      <c r="C67" s="38" t="n">
        <v>0.819273</v>
      </c>
      <c r="D67" s="38" t="n">
        <v>0.823017</v>
      </c>
      <c r="E67" s="8" t="n">
        <v>4006243.38</v>
      </c>
      <c r="F67" s="8" t="n">
        <v>22636266.8</v>
      </c>
    </row>
    <row r="68">
      <c r="A68" s="3" t="inlineStr">
        <is>
          <t>Cane Ridge Elementary (1992)</t>
        </is>
      </c>
      <c r="B68" s="38" t="n">
        <v>0.8120579999999999</v>
      </c>
      <c r="C68" s="38" t="n">
        <v>0.811765</v>
      </c>
      <c r="D68" s="38" t="n">
        <v>0.728249</v>
      </c>
      <c r="E68" s="8" t="n">
        <v>4796308</v>
      </c>
      <c r="F68" s="8" t="n">
        <v>17649638.79</v>
      </c>
    </row>
    <row r="69">
      <c r="A69" s="3" t="inlineStr">
        <is>
          <t>North Middletown Elementary (1948/64)</t>
        </is>
      </c>
      <c r="B69" s="38" t="n">
        <v>0.694064</v>
      </c>
      <c r="C69" s="38" t="n">
        <v>0.702133</v>
      </c>
      <c r="D69" s="38" t="n">
        <v>0.773295</v>
      </c>
      <c r="E69" s="8" t="n">
        <v>3099147.93</v>
      </c>
      <c r="F69" s="8" t="n">
        <v>13670417.6</v>
      </c>
    </row>
    <row r="70">
      <c r="A70" s="3" t="inlineStr">
        <is>
          <t>Bourbon County Middle School (1948)</t>
        </is>
      </c>
      <c r="B70" s="38" t="n">
        <v>0.726249</v>
      </c>
      <c r="C70" s="38" t="n">
        <v>0.727501</v>
      </c>
      <c r="D70" s="38" t="n">
        <v>0.596145</v>
      </c>
      <c r="E70" s="8" t="n">
        <v>12167086.72</v>
      </c>
      <c r="F70" s="8" t="n">
        <v>30127350</v>
      </c>
    </row>
    <row r="71">
      <c r="A71" s="3" t="inlineStr">
        <is>
          <t>Bourbon County High School (1968)</t>
        </is>
      </c>
      <c r="B71" s="38" t="n">
        <v>0.809819</v>
      </c>
      <c r="C71" s="38" t="n">
        <v>0.802057</v>
      </c>
      <c r="D71" s="38" t="n">
        <v>0.792529</v>
      </c>
      <c r="E71" s="8" t="n">
        <v>10251532.33</v>
      </c>
      <c r="F71" s="8" t="n">
        <v>49411909.14</v>
      </c>
    </row>
    <row r="72">
      <c r="A72" s="3" t="inlineStr">
        <is>
          <t>Check: Condition Index = 1 - (4-year renewal needs / replacement value), NMES</t>
        </is>
      </c>
      <c r="B72" s="39">
        <f>1-E69/F69</f>
        <v/>
      </c>
    </row>
    <row r="73">
      <c r="A73" s="3" t="inlineStr">
        <is>
          <t>NMES change between inspection cycles (2020-21 to April 2026)</t>
        </is>
      </c>
      <c r="B73" s="39">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21571/Assumptions!B11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40" t="n">
        <v>0.4</v>
      </c>
      <c r="C41" s="40"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1">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2">
        <f>B39/D39-1</f>
        <v/>
      </c>
    </row>
    <row r="40">
      <c r="A40" s="3" t="inlineStr">
        <is>
          <t>2012-13</t>
        </is>
      </c>
      <c r="B40" s="8" t="n">
        <v>19635</v>
      </c>
      <c r="C40" s="10" t="n">
        <v>158</v>
      </c>
      <c r="D40" s="8" t="n">
        <v>10281</v>
      </c>
      <c r="E40" s="8" t="n">
        <v>11383</v>
      </c>
      <c r="F40" s="42">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2">
        <f>B41/D41-1</f>
        <v/>
      </c>
    </row>
    <row r="42">
      <c r="A42" s="3" t="inlineStr">
        <is>
          <t>2014-15</t>
        </is>
      </c>
      <c r="B42" s="8" t="n">
        <v>10999</v>
      </c>
      <c r="C42" s="10" t="n">
        <v>153</v>
      </c>
      <c r="D42" s="8" t="n">
        <v>8651</v>
      </c>
      <c r="E42" s="8" t="n">
        <v>9222</v>
      </c>
      <c r="F42" s="42">
        <f>B42/D42-1</f>
        <v/>
      </c>
    </row>
    <row r="43">
      <c r="A43" s="3" t="inlineStr">
        <is>
          <t>2015-16</t>
        </is>
      </c>
      <c r="B43" s="8" t="n">
        <v>11521</v>
      </c>
      <c r="C43" s="10" t="n">
        <v>149</v>
      </c>
      <c r="D43" s="8" t="n">
        <v>8705</v>
      </c>
      <c r="E43" s="8" t="n">
        <v>9655</v>
      </c>
      <c r="F43" s="42">
        <f>B43/D43-1</f>
        <v/>
      </c>
    </row>
    <row r="44">
      <c r="A44" s="3" t="inlineStr">
        <is>
          <t>2016-17</t>
        </is>
      </c>
      <c r="B44" s="8" t="n">
        <v>13260</v>
      </c>
      <c r="C44" s="10" t="n">
        <v>133</v>
      </c>
      <c r="D44" s="8" t="n">
        <v>9197</v>
      </c>
      <c r="E44" s="8" t="n">
        <v>9815</v>
      </c>
      <c r="F44" s="42">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3">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3">
        <f>1/B50</f>
        <v/>
      </c>
    </row>
    <row r="51">
      <c r="A51" s="3" t="inlineStr">
        <is>
          <t>North Middletown</t>
        </is>
      </c>
      <c r="B51" s="10" t="n">
        <v>193</v>
      </c>
      <c r="C51" s="8" t="n">
        <v>4414</v>
      </c>
      <c r="D51" s="9">
        <f>B$55+B$54*E51</f>
        <v/>
      </c>
      <c r="E51" s="43">
        <f>1/B51</f>
        <v/>
      </c>
    </row>
    <row r="52">
      <c r="A52" s="3" t="inlineStr">
        <is>
          <t>Millersburg</t>
        </is>
      </c>
      <c r="B52" s="10" t="n">
        <v>145</v>
      </c>
      <c r="C52" s="8" t="n">
        <v>5200</v>
      </c>
      <c r="D52" s="9">
        <f>B$55+B$54*E52</f>
        <v/>
      </c>
      <c r="E52" s="43">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4">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2026-07-29T04:06:50Z</dcterms:created>
  <dcterms:modified xmlns:dcterms="http://purl.org/dc/terms/" xmlns:xsi="http://www.w3.org/2001/XMLSchema-instance" xsi:type="dcterms:W3CDTF">2026-07-29T04:06:50Z</dcterms:modified>
</cp:coreProperties>
</file>