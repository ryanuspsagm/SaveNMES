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GF_Summary" sheetId="3" state="visible" r:id="rId3"/>
    <sheet name="Closure_Model" sheetId="4" state="visible" r:id="rId4"/>
    <sheet name="Growth_Model" sheetId="5" state="visible" r:id="rId5"/>
    <sheet name="Redistricting" sheetId="6" state="visible" r:id="rId6"/>
    <sheet name="Transport_Geo" sheetId="7" state="visible" r:id="rId7"/>
    <sheet name="Alternatives" sheetId="8" state="visible" r:id="rId8"/>
    <sheet name="Debt_Service" sheetId="9" state="visible" r:id="rId9"/>
    <sheet name="Runway" sheetId="10" state="visible" r:id="rId10"/>
    <sheet name="Tax_History" sheetId="11" state="visible" r:id="rId11"/>
    <sheet name="Demographics" sheetId="12" state="visible" r:id="rId12"/>
    <sheet name="School_Dat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#,##0;(#,##0);&quot;-&quot;"/>
    <numFmt numFmtId="166" formatCode="0.0%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55555"/>
      <sz val="9"/>
    </font>
    <font>
      <name val="Arial"/>
      <sz val="10"/>
    </font>
    <font>
      <name val="Arial"/>
      <b val="1"/>
      <color rgb="001F3864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1F3864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164" fontId="5" fillId="0" borderId="0" pivotButton="0" quotePrefix="0" xfId="0"/>
    <xf numFmtId="164" fontId="3" fillId="0" borderId="0" pivotButton="0" quotePrefix="0" xfId="0"/>
    <xf numFmtId="165" fontId="5" fillId="0" borderId="0" pivotButton="0" quotePrefix="0" xfId="0"/>
    <xf numFmtId="165" fontId="3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5" fillId="2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7" fillId="3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8" fillId="0" borderId="1" pivotButton="0" quotePrefix="0" xfId="0"/>
    <xf numFmtId="165" fontId="6" fillId="0" borderId="0" pivotButton="0" quotePrefix="0" xfId="0"/>
    <xf numFmtId="0" fontId="2" fillId="0" borderId="0" applyAlignment="1" pivotButton="0" quotePrefix="0" xfId="0">
      <alignment vertical="top" wrapText="1"/>
    </xf>
    <xf numFmtId="1" fontId="3" fillId="0" borderId="0" pivotButton="0" quotePrefix="0" xfId="0"/>
    <xf numFmtId="2" fontId="5" fillId="2" borderId="0" pivotButton="0" quotePrefix="0" xfId="0"/>
    <xf numFmtId="167" fontId="5" fillId="0" borderId="0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Saving North Middletown Elementary School — Financial Model</t>
        </is>
      </c>
    </row>
    <row r="2">
      <c r="A2" s="2" t="inlineStr">
        <is>
          <t>Companion workbook to the July 2026 report 'A Deep Dive into Bourbon County Schools' (Bourbon County, Kentucky)</t>
        </is>
      </c>
    </row>
    <row r="3">
      <c r="A3" s="3" t="inlineStr"/>
    </row>
    <row r="4">
      <c r="A4" s="4" t="inlineStr">
        <is>
          <t>PURPOSE</t>
        </is>
      </c>
    </row>
    <row r="5">
      <c r="A5" s="3" t="inlineStr">
        <is>
          <t>This workbook backs up every calculation in the PDF report: the district's three-year General Fund picture, the net-savings test of the</t>
        </is>
      </c>
    </row>
    <row r="6">
      <c r="A6" s="3" t="inlineStr">
        <is>
          <t>closure proposal, the 'grow the Kings' nonresident-enrollment model, the alternatives menu, the bond schedule, and a reserve-runway</t>
        </is>
      </c>
    </row>
    <row r="7">
      <c r="A7" s="3" t="inlineStr">
        <is>
          <t>projection. Every output is a live formula; change the blue inputs or yellow judgment cells and the model recalculates.</t>
        </is>
      </c>
    </row>
    <row r="8">
      <c r="A8" s="3" t="inlineStr"/>
    </row>
    <row r="9">
      <c r="A9" s="4" t="inlineStr">
        <is>
          <t>HOW TO READ THE CELLS</t>
        </is>
      </c>
    </row>
    <row r="10">
      <c r="A10" s="5" t="inlineStr">
        <is>
          <t xml:space="preserve">  Blue text  = a hardcoded input you can edit (audited figures, state data, or scenario levers; source noted alongside).</t>
        </is>
      </c>
    </row>
    <row r="11">
      <c r="A11" s="2" t="inlineStr">
        <is>
          <t xml:space="preserve">  Black text = a formula. Do not overwrite.</t>
        </is>
      </c>
    </row>
    <row r="12">
      <c r="A12" s="6" t="inlineStr">
        <is>
          <t xml:space="preserve">  Green text = a value pulled from another sheet in this workbook.</t>
        </is>
      </c>
    </row>
    <row r="13">
      <c r="A13" s="7" t="inlineStr">
        <is>
          <t xml:space="preserve">  Yellow fill = a key judgment call or estimate the district should replace with actual data. Review these first.</t>
        </is>
      </c>
    </row>
    <row r="14">
      <c r="A14" s="3" t="inlineStr"/>
    </row>
    <row r="15">
      <c r="A15" s="4" t="inlineStr">
        <is>
          <t>SOURCES (full citations in the PDF report)</t>
        </is>
      </c>
    </row>
    <row r="16">
      <c r="A16" s="2" t="inlineStr">
        <is>
          <t xml:space="preserve">  Audited figures: Bourbon County School District audited financial statements, FY2023-24 and FY2024-25 (posted by KDE).</t>
        </is>
      </c>
    </row>
    <row r="17">
      <c r="A17" s="2" t="inlineStr">
        <is>
          <t xml:space="preserve">  Per-pupil spending: Kentucky School Report Card school-level (ESSA) expenditure data, 2023-24.</t>
        </is>
      </c>
    </row>
    <row r="18">
      <c r="A18" s="2" t="inlineStr">
        <is>
          <t xml:space="preserve">  SEEK base amounts: Kentucky 2024-2026 and 2026-2028 state budgets. Enrollment/capacity: NCES; 2021 KBE-approved facility plan.</t>
        </is>
      </c>
    </row>
    <row r="19">
      <c r="A19" s="2" t="inlineStr">
        <is>
          <t xml:space="preserve">  Multi-year school scores and NMES enrollment history: School_Data tab (backs report Figures 6, 7, and 11).</t>
        </is>
      </c>
    </row>
    <row r="20">
      <c r="A20" s="2" t="inlineStr">
        <is>
          <t xml:space="preserve">  County demographics and the full 1989-2025 NMES enrollment series: Demographics tab (backs Section 9 and Figure 11).</t>
        </is>
      </c>
    </row>
    <row r="21">
      <c r="A21" s="2" t="inlineStr">
        <is>
          <t xml:space="preserve">  Tax rates, fund split, delinquency check, and the 4% three-year path: Tax_History tab (backs Figure 14).</t>
        </is>
      </c>
    </row>
    <row r="22">
      <c r="A22" s="2" t="inlineStr">
        <is>
          <t xml:space="preserve">  Boundary rebalancing and fill-to-capacity scenario: Redistricting tab (backs the Section 9 worked example and Figure 12).</t>
        </is>
      </c>
    </row>
    <row r="23">
      <c r="A23" s="2" t="inlineStr">
        <is>
          <t xml:space="preserve">  Bonding capacity components and what closure can and cannot change: Debt_Service tab (backs Section 6).</t>
        </is>
      </c>
    </row>
    <row r="24">
      <c r="A24" s="2" t="inlineStr">
        <is>
          <t xml:space="preserve">  Student density, route-mile arithmetic, and busing cost scenarios: Transport_Geo tab (backs Section 9).</t>
        </is>
      </c>
    </row>
    <row r="25">
      <c r="A25" s="3" t="inlineStr"/>
    </row>
    <row r="26">
      <c r="A26" s="4" t="inlineStr">
        <is>
          <t>CAVEAT</t>
        </is>
      </c>
    </row>
    <row r="27">
      <c r="A27" s="3" t="inlineStr">
        <is>
          <t>Prepared by a former NMES King working alongside Fable 5, an AI research assistant from Anthropic. Estimates are labeled; every figure</t>
        </is>
      </c>
    </row>
    <row r="28">
      <c r="A28" s="3" t="inlineStr">
        <is>
          <t>should be re-verified against the cited primary sources before formal use. Nothing here alleges misconduct by any official.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0" customWidth="1" min="3" max="3"/>
  </cols>
  <sheetData>
    <row r="1">
      <c r="A1" s="1" t="inlineStr">
        <is>
          <t>Assumptions &amp; Inputs</t>
        </is>
      </c>
    </row>
    <row r="2">
      <c r="A2" s="2" t="inlineStr">
        <is>
          <t>Edit blue cells. Yellow cells are judgment calls/estimates — the district should replace them with actuals.</t>
        </is>
      </c>
    </row>
    <row r="4">
      <c r="A4" s="4" t="inlineStr">
        <is>
          <t>STATE FUNDING (SEEK base guarantee per pupil)</t>
        </is>
      </c>
    </row>
    <row r="5">
      <c r="A5" s="3" t="inlineStr">
        <is>
          <t>SEEK base, FY2026</t>
        </is>
      </c>
      <c r="B5" s="8" t="n">
        <v>4586</v>
      </c>
      <c r="C5" s="2" t="inlineStr">
        <is>
          <t>2024-2026 KY budget (HB 6); KDE SEEK files</t>
        </is>
      </c>
    </row>
    <row r="6">
      <c r="A6" s="3" t="inlineStr">
        <is>
          <t>SEEK base, FY2027</t>
        </is>
      </c>
      <c r="B6" s="8" t="n">
        <v>4626</v>
      </c>
      <c r="C6" s="2" t="inlineStr">
        <is>
          <t>2026-2028 KY budget (HB 500)</t>
        </is>
      </c>
    </row>
    <row r="7">
      <c r="A7" s="3" t="inlineStr">
        <is>
          <t>SEEK base, FY2028</t>
        </is>
      </c>
      <c r="B7" s="8" t="n">
        <v>4792</v>
      </c>
      <c r="C7" s="2" t="inlineStr">
        <is>
          <t>2026-2028 KY budget (HB 500)</t>
        </is>
      </c>
    </row>
    <row r="8">
      <c r="A8" s="3" t="inlineStr">
        <is>
          <t>SEEK base, FY2029 (held flat at FY2028)</t>
        </is>
      </c>
      <c r="B8" s="9">
        <f>B7</f>
        <v/>
      </c>
      <c r="C8" s="2" t="inlineStr">
        <is>
          <t>Assumption</t>
        </is>
      </c>
    </row>
    <row r="10">
      <c r="A10" s="4" t="inlineStr">
        <is>
          <t>NORTH MIDDLETOWN ELEMENTARY</t>
        </is>
      </c>
    </row>
    <row r="11">
      <c r="A11" s="3" t="inlineStr">
        <is>
          <t>Enrollment, 2024-25</t>
        </is>
      </c>
      <c r="B11" s="10" t="n">
        <v>128</v>
      </c>
      <c r="C11" s="2" t="inlineStr">
        <is>
          <t>NCES CCD official count. Supt. has said 'around 100'; a '118' figure could not be verified in any official record</t>
        </is>
      </c>
    </row>
    <row r="12">
      <c r="A12" s="3" t="inlineStr">
        <is>
          <t>Rated capacity</t>
        </is>
      </c>
      <c r="B12" s="10" t="n">
        <v>174</v>
      </c>
      <c r="C12" s="2" t="inlineStr">
        <is>
          <t>2021 KBE-approved District Facility Plan</t>
        </is>
      </c>
    </row>
    <row r="13">
      <c r="A13" s="3" t="inlineStr">
        <is>
          <t>Open seats</t>
        </is>
      </c>
      <c r="B13" s="11">
        <f>B12-B11</f>
        <v/>
      </c>
    </row>
    <row r="14">
      <c r="A14" s="3" t="inlineStr">
        <is>
          <t>Per-pupil spending, total (2023-24)</t>
        </is>
      </c>
      <c r="B14" s="8" t="n">
        <v>19348</v>
      </c>
      <c r="C14" s="2" t="inlineStr">
        <is>
          <t>KY School Report Card, ESSA school-level data</t>
        </is>
      </c>
    </row>
    <row r="15">
      <c r="A15" s="3" t="inlineStr">
        <is>
          <t>Per-pupil spending, state/local share</t>
        </is>
      </c>
      <c r="B15" s="8" t="n">
        <v>14173</v>
      </c>
      <c r="C15" s="2" t="inlineStr">
        <is>
          <t>KY School Report Card, ESSA school-level data</t>
        </is>
      </c>
    </row>
    <row r="16">
      <c r="A16" s="3" t="inlineStr">
        <is>
          <t>Classroom teachers (FTE)</t>
        </is>
      </c>
      <c r="B16" s="12" t="n">
        <v>9.41</v>
      </c>
      <c r="C16" s="2" t="inlineStr">
        <is>
          <t>NCES</t>
        </is>
      </c>
    </row>
    <row r="18">
      <c r="A18" s="4" t="inlineStr">
        <is>
          <t>DISTRICT GENERAL FUND (audited)</t>
        </is>
      </c>
    </row>
    <row r="19">
      <c r="A19" s="3" t="inlineStr">
        <is>
          <t>Revenues before transfers, FY2023</t>
        </is>
      </c>
      <c r="B19" s="8" t="n">
        <v>27668655</v>
      </c>
      <c r="C19" s="2" t="inlineStr">
        <is>
          <t>FY2024 audit (comparative)</t>
        </is>
      </c>
    </row>
    <row r="20">
      <c r="A20" s="3" t="inlineStr">
        <is>
          <t>Revenues before transfers, FY2024</t>
        </is>
      </c>
      <c r="B20" s="8" t="n">
        <v>24952644</v>
      </c>
      <c r="C20" s="2" t="inlineStr">
        <is>
          <t>FY2024 audit</t>
        </is>
      </c>
    </row>
    <row r="21">
      <c r="A21" s="3" t="inlineStr">
        <is>
          <t>Revenues before transfers, FY2025</t>
        </is>
      </c>
      <c r="B21" s="8" t="n">
        <v>26449318</v>
      </c>
      <c r="C21" s="2" t="inlineStr">
        <is>
          <t>FY2025 audit</t>
        </is>
      </c>
    </row>
    <row r="22">
      <c r="A22" s="3" t="inlineStr">
        <is>
          <t>Expenditures before transfers, FY2023</t>
        </is>
      </c>
      <c r="B22" s="8" t="n">
        <v>27905775</v>
      </c>
      <c r="C22" s="2" t="inlineStr">
        <is>
          <t>FY2024 audit (comparative)</t>
        </is>
      </c>
    </row>
    <row r="23">
      <c r="A23" s="3" t="inlineStr">
        <is>
          <t>Expenditures before transfers, FY2024</t>
        </is>
      </c>
      <c r="B23" s="8" t="n">
        <v>27487732</v>
      </c>
      <c r="C23" s="2" t="inlineStr">
        <is>
          <t>FY2024 audit</t>
        </is>
      </c>
    </row>
    <row r="24">
      <c r="A24" s="3" t="inlineStr">
        <is>
          <t>Expenditures before transfers, FY2025</t>
        </is>
      </c>
      <c r="B24" s="8" t="n">
        <v>29097404</v>
      </c>
      <c r="C24" s="2" t="inlineStr">
        <is>
          <t>FY2025 audit</t>
        </is>
      </c>
    </row>
    <row r="25">
      <c r="A25" s="3" t="inlineStr">
        <is>
          <t>Net transfers &amp; other sources, FY2024</t>
        </is>
      </c>
      <c r="B25" s="8" t="n">
        <v>1469431</v>
      </c>
      <c r="C25" s="2" t="inlineStr">
        <is>
          <t>FY2024 audit</t>
        </is>
      </c>
    </row>
    <row r="26">
      <c r="A26" s="3" t="inlineStr">
        <is>
          <t>Net transfers &amp; other sources, FY2025</t>
        </is>
      </c>
      <c r="B26" s="8" t="n">
        <v>1422621</v>
      </c>
      <c r="C26" s="2" t="inlineStr">
        <is>
          <t>FY2025 audit</t>
        </is>
      </c>
    </row>
    <row r="27">
      <c r="A27" s="3" t="inlineStr">
        <is>
          <t>Ending fund balance, FY2023</t>
        </is>
      </c>
      <c r="B27" s="8" t="n">
        <v>6582802</v>
      </c>
      <c r="C27" s="2" t="inlineStr">
        <is>
          <t>FY2024 audit</t>
        </is>
      </c>
    </row>
    <row r="28">
      <c r="A28" s="3" t="inlineStr">
        <is>
          <t>Ending fund balance, FY2024</t>
        </is>
      </c>
      <c r="B28" s="8" t="n">
        <v>5516305</v>
      </c>
      <c r="C28" s="2" t="inlineStr">
        <is>
          <t>FY2024 audit</t>
        </is>
      </c>
    </row>
    <row r="29">
      <c r="A29" s="3" t="inlineStr">
        <is>
          <t>Ending fund balance, FY2025</t>
        </is>
      </c>
      <c r="B29" s="8" t="n">
        <v>4290840</v>
      </c>
      <c r="C29" s="2" t="inlineStr">
        <is>
          <t>FY2025 audit</t>
        </is>
      </c>
    </row>
    <row r="30">
      <c r="A30" s="3" t="inlineStr">
        <is>
          <t>Unassigned fund balance, FY2025</t>
        </is>
      </c>
      <c r="B30" s="8" t="n">
        <v>3925193</v>
      </c>
      <c r="C30" s="2" t="inlineStr">
        <is>
          <t>FY2025 audit</t>
        </is>
      </c>
    </row>
    <row r="31">
      <c r="A31" s="3" t="inlineStr">
        <is>
          <t>Required contingency (share of spending)</t>
        </is>
      </c>
      <c r="B31" s="13" t="n">
        <v>0.02</v>
      </c>
      <c r="C31" s="2" t="inlineStr">
        <is>
          <t>Kentucky 2% statutory minimum</t>
        </is>
      </c>
    </row>
    <row r="33">
      <c r="A33" s="4" t="inlineStr">
        <is>
          <t>LOCAL REVENUE</t>
        </is>
      </c>
    </row>
    <row r="34">
      <c r="A34" s="3" t="inlineStr">
        <is>
          <t>Property assessment, FY2025</t>
        </is>
      </c>
      <c r="B34" s="8" t="n">
        <v>1843569625</v>
      </c>
      <c r="C34" s="2" t="inlineStr">
        <is>
          <t>FY2025 audit MD&amp;A</t>
        </is>
      </c>
    </row>
    <row r="35">
      <c r="A35" s="3" t="inlineStr">
        <is>
          <t>GF property tax collected, FY2025</t>
        </is>
      </c>
      <c r="B35" s="8" t="n">
        <v>7829060</v>
      </c>
      <c r="C35" s="2" t="inlineStr">
        <is>
          <t>FY2025 audit</t>
        </is>
      </c>
    </row>
    <row r="36">
      <c r="A36" s="3" t="inlineStr">
        <is>
          <t>Annual levy adjustment (KRS 160.470)</t>
        </is>
      </c>
      <c r="B36" s="13" t="n">
        <v>0.04</v>
      </c>
      <c r="C36" s="2" t="inlineStr">
        <is>
          <t>Board lever; up to 4% without recall</t>
        </is>
      </c>
    </row>
    <row r="37">
      <c r="A37" s="3" t="inlineStr">
        <is>
          <t>Uncollected (delinquent) property tax, FY2024</t>
        </is>
      </c>
      <c r="B37" s="8" t="n">
        <v>387840</v>
      </c>
      <c r="C37" s="2" t="inlineStr">
        <is>
          <t>Calc yield $10,556,809 vs actual $10,168,969; ~3.7% delinquency, not foregone levy authority</t>
        </is>
      </c>
    </row>
    <row r="38">
      <c r="A38" s="3" t="inlineStr">
        <is>
          <t>Uncollected (delinquent) property tax, FY2025</t>
        </is>
      </c>
      <c r="B38" s="8" t="n">
        <v>239126</v>
      </c>
      <c r="C38" s="2" t="inlineStr">
        <is>
          <t>Calc yield $9,880,143 vs actual $9,641,017; ~2.4% delinquency, not foregone levy authority</t>
        </is>
      </c>
    </row>
    <row r="40">
      <c r="A40" s="4" t="inlineStr">
        <is>
          <t>COST STRUCTURE</t>
        </is>
      </c>
    </row>
    <row r="41">
      <c r="A41" s="3" t="inlineStr">
        <is>
          <t>Loaded cost per certified position (est.)</t>
        </is>
      </c>
      <c r="B41" s="14" t="n">
        <v>85000</v>
      </c>
      <c r="C41" s="2" t="inlineStr">
        <is>
          <t>Estimate — replace with district payroll data</t>
        </is>
      </c>
    </row>
    <row r="42">
      <c r="A42" s="3" t="inlineStr">
        <is>
          <t>Transportation expense, FY2025</t>
        </is>
      </c>
      <c r="B42" s="8" t="n">
        <v>2913654</v>
      </c>
      <c r="C42" s="2" t="inlineStr">
        <is>
          <t>FY2025 audit</t>
        </is>
      </c>
    </row>
    <row r="43">
      <c r="A43" s="3" t="inlineStr">
        <is>
          <t>Transport optimization, low</t>
        </is>
      </c>
      <c r="B43" s="15" t="n">
        <v>0.05</v>
      </c>
      <c r="C43" s="2" t="inlineStr">
        <is>
          <t>Estimate</t>
        </is>
      </c>
    </row>
    <row r="44">
      <c r="A44" s="3" t="inlineStr">
        <is>
          <t>Transport optimization, high</t>
        </is>
      </c>
      <c r="B44" s="15" t="n">
        <v>0.1</v>
      </c>
      <c r="C44" s="2" t="inlineStr">
        <is>
          <t>Estimate</t>
        </is>
      </c>
    </row>
    <row r="45">
      <c r="A45" s="3" t="inlineStr">
        <is>
          <t>District administration expense, FY2023</t>
        </is>
      </c>
      <c r="B45" s="8" t="n">
        <v>999727</v>
      </c>
      <c r="C45" s="2" t="inlineStr">
        <is>
          <t>FY2024 audit</t>
        </is>
      </c>
    </row>
    <row r="46">
      <c r="A46" s="3" t="inlineStr">
        <is>
          <t>District administration expense, FY2025</t>
        </is>
      </c>
      <c r="B46" s="8" t="n">
        <v>1447164</v>
      </c>
      <c r="C46" s="2" t="inlineStr">
        <is>
          <t>FY2025 audit</t>
        </is>
      </c>
    </row>
    <row r="47">
      <c r="A47" s="3" t="inlineStr">
        <is>
          <t>Administrative rollback share of 2-yr growth</t>
        </is>
      </c>
      <c r="B47" s="15" t="n">
        <v>0.5</v>
      </c>
      <c r="C47" s="2" t="inlineStr">
        <is>
          <t>Judgment call</t>
        </is>
      </c>
    </row>
    <row r="48">
      <c r="A48" s="3" t="inlineStr">
        <is>
          <t>Attrition positions, district-wide</t>
        </is>
      </c>
      <c r="B48" s="16" t="n">
        <v>4</v>
      </c>
      <c r="C48" s="2" t="inlineStr">
        <is>
          <t>Judgment call</t>
        </is>
      </c>
    </row>
    <row r="50">
      <c r="A50" s="4" t="inlineStr">
        <is>
          <t>CLOSURE SCENARIO JUDGMENTS (estimates — district must replace with actuals)</t>
        </is>
      </c>
    </row>
    <row r="51">
      <c r="A51" s="3" t="inlineStr">
        <is>
          <t>Principal &amp; office costs avoided</t>
        </is>
      </c>
      <c r="B51" s="14" t="n">
        <v>175000</v>
      </c>
      <c r="C51" s="2" t="inlineStr">
        <is>
          <t>Estimate</t>
        </is>
      </c>
    </row>
    <row r="52">
      <c r="A52" s="3" t="inlineStr">
        <is>
          <t>Plant/utilities/insurance avoided, net of carrying cost</t>
        </is>
      </c>
      <c r="B52" s="14" t="n">
        <v>115000</v>
      </c>
      <c r="C52" s="2" t="inlineStr">
        <is>
          <t>Estimate — assumes building sold or repurposed</t>
        </is>
      </c>
    </row>
    <row r="53">
      <c r="A53" s="3" t="inlineStr">
        <is>
          <t>Teaching positions truly eliminated</t>
        </is>
      </c>
      <c r="B53" s="16" t="n">
        <v>3</v>
      </c>
      <c r="C53" s="2" t="inlineStr">
        <is>
          <t>Estimate — via attrition only</t>
        </is>
      </c>
    </row>
    <row r="54">
      <c r="A54" s="3" t="inlineStr">
        <is>
          <t>Added busing cost per year</t>
        </is>
      </c>
      <c r="B54" s="14" t="n">
        <v>137500</v>
      </c>
      <c r="C54" s="2" t="inlineStr">
        <is>
          <t>Estimate — midpoint of $75K-$200K</t>
        </is>
      </c>
    </row>
    <row r="55">
      <c r="A55" s="3" t="inlineStr">
        <is>
          <t>Students leaving the district on closure</t>
        </is>
      </c>
      <c r="B55" s="16" t="n">
        <v>10</v>
      </c>
      <c r="C55" s="2" t="inlineStr">
        <is>
          <t>Judgment call — see sensitivity table</t>
        </is>
      </c>
    </row>
    <row r="56">
      <c r="A56" s="3" t="inlineStr">
        <is>
          <t>One-time transition cost</t>
        </is>
      </c>
      <c r="B56" s="14" t="n">
        <v>100000</v>
      </c>
      <c r="C56" s="2" t="inlineStr">
        <is>
          <t>Estimate</t>
        </is>
      </c>
    </row>
    <row r="58">
      <c r="A58" s="4" t="inlineStr">
        <is>
          <t>GROWTH SCENARIO (nonresident enrollment under HB 563 / KRS 157.350)</t>
        </is>
      </c>
    </row>
    <row r="59">
      <c r="A59" s="3" t="inlineStr">
        <is>
          <t>Transfer students, Year 1 (FY2027)</t>
        </is>
      </c>
      <c r="B59" s="10" t="n">
        <v>15</v>
      </c>
      <c r="C59" s="2" t="inlineStr">
        <is>
          <t>Scenario lever</t>
        </is>
      </c>
    </row>
    <row r="60">
      <c r="A60" s="3" t="inlineStr">
        <is>
          <t>Transfer students, Year 2 (FY2028)</t>
        </is>
      </c>
      <c r="B60" s="10" t="n">
        <v>30</v>
      </c>
      <c r="C60" s="2" t="inlineStr">
        <is>
          <t>Scenario lever</t>
        </is>
      </c>
    </row>
    <row r="61">
      <c r="A61" s="3" t="inlineStr">
        <is>
          <t>Transfer students, Year 3 (FY2029)</t>
        </is>
      </c>
      <c r="B61" s="10" t="n">
        <v>46</v>
      </c>
      <c r="C61" s="2" t="inlineStr">
        <is>
          <t>Scenario lever — capped at open seats in model</t>
        </is>
      </c>
    </row>
    <row r="62">
      <c r="A62" s="3" t="inlineStr">
        <is>
          <t>Variable cost per transfer student</t>
        </is>
      </c>
      <c r="B62" s="14" t="n">
        <v>400</v>
      </c>
      <c r="C62" s="2" t="inlineStr">
        <is>
          <t>Estimate — supplies/materials</t>
        </is>
      </c>
    </row>
    <row r="63">
      <c r="A63" s="3" t="inlineStr">
        <is>
          <t>Added teacher once transfers exceed</t>
        </is>
      </c>
      <c r="B63" s="16" t="n">
        <v>30</v>
      </c>
      <c r="C63" s="2" t="inlineStr">
        <is>
          <t>Judgment call</t>
        </is>
      </c>
    </row>
    <row r="65">
      <c r="A65" s="4" t="inlineStr">
        <is>
          <t>DISTRICT-FAVORABLE CLOSURE CASE (red-team upper bound)</t>
        </is>
      </c>
    </row>
    <row r="66">
      <c r="A66" s="3" t="inlineStr">
        <is>
          <t>Positions eliminated, favorable case</t>
        </is>
      </c>
      <c r="B66" s="16" t="n">
        <v>5</v>
      </c>
      <c r="C66" s="2" t="inlineStr">
        <is>
          <t>Upper bound tested in Closure_Model</t>
        </is>
      </c>
    </row>
    <row r="67">
      <c r="A67" s="3" t="inlineStr">
        <is>
          <t>Added busing, favorable (low) case</t>
        </is>
      </c>
      <c r="B67" s="14" t="n">
        <v>75000</v>
      </c>
      <c r="C67" s="2" t="inlineStr">
        <is>
          <t>Low end of the $75K-$200K range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General Fund, Three-Year Summary (audited)</t>
        </is>
      </c>
    </row>
    <row r="3">
      <c r="A3" s="17" t="inlineStr"/>
      <c r="B3" s="17" t="inlineStr">
        <is>
          <t>FY2023</t>
        </is>
      </c>
      <c r="C3" s="17" t="inlineStr">
        <is>
          <t>FY2024</t>
        </is>
      </c>
      <c r="D3" s="17" t="inlineStr">
        <is>
          <t>FY2025</t>
        </is>
      </c>
    </row>
    <row r="4">
      <c r="A4" s="3" t="inlineStr">
        <is>
          <t>Revenues before transfers</t>
        </is>
      </c>
      <c r="B4" s="18">
        <f>Assumptions!B19</f>
        <v/>
      </c>
      <c r="C4" s="18">
        <f>Assumptions!B20</f>
        <v/>
      </c>
      <c r="D4" s="18">
        <f>Assumptions!B21</f>
        <v/>
      </c>
    </row>
    <row r="5">
      <c r="A5" s="3" t="inlineStr">
        <is>
          <t>Expenditures before transfers</t>
        </is>
      </c>
      <c r="B5" s="18">
        <f>Assumptions!B22</f>
        <v/>
      </c>
      <c r="C5" s="18">
        <f>Assumptions!B23</f>
        <v/>
      </c>
      <c r="D5" s="18">
        <f>Assumptions!B24</f>
        <v/>
      </c>
    </row>
    <row r="6">
      <c r="A6" s="3" t="inlineStr">
        <is>
          <t>Operating result before transfers</t>
        </is>
      </c>
      <c r="B6" s="9">
        <f>B4-B5</f>
        <v/>
      </c>
      <c r="C6" s="9">
        <f>C4-C5</f>
        <v/>
      </c>
      <c r="D6" s="9">
        <f>D4-D5</f>
        <v/>
      </c>
    </row>
    <row r="7">
      <c r="A7" s="3" t="inlineStr">
        <is>
          <t>Net transfers &amp; other sources</t>
        </is>
      </c>
      <c r="C7" s="18">
        <f>Assumptions!B25</f>
        <v/>
      </c>
      <c r="D7" s="18">
        <f>Assumptions!B26</f>
        <v/>
      </c>
    </row>
    <row r="8">
      <c r="A8" s="3" t="inlineStr">
        <is>
          <t>Change in fund balance</t>
        </is>
      </c>
      <c r="C8" s="9">
        <f>C6+C7</f>
        <v/>
      </c>
      <c r="D8" s="9">
        <f>D6+D7</f>
        <v/>
      </c>
    </row>
    <row r="9">
      <c r="A9" s="3" t="inlineStr">
        <is>
          <t>Ending fund balance</t>
        </is>
      </c>
      <c r="B9" s="18">
        <f>Assumptions!B27</f>
        <v/>
      </c>
      <c r="C9" s="18">
        <f>Assumptions!B28</f>
        <v/>
      </c>
      <c r="D9" s="18">
        <f>Assumptions!B29</f>
        <v/>
      </c>
    </row>
    <row r="10">
      <c r="A10" s="3" t="inlineStr">
        <is>
          <t>Check vs audited balances (small residual = other audited items)</t>
        </is>
      </c>
      <c r="C10" s="9">
        <f>C9-B9-C8</f>
        <v/>
      </c>
      <c r="D10" s="9">
        <f>D9-C9-D8</f>
        <v/>
      </c>
    </row>
    <row r="12">
      <c r="A12" s="4" t="inlineStr">
        <is>
          <t>METRICS</t>
        </is>
      </c>
    </row>
    <row r="13">
      <c r="A13" s="3" t="inlineStr">
        <is>
          <t>Fund balance as % of expenditures, FY2025</t>
        </is>
      </c>
      <c r="D13" s="19">
        <f>D9/D5</f>
        <v/>
      </c>
    </row>
    <row r="14">
      <c r="A14" s="3" t="inlineStr">
        <is>
          <t>2% contingency floor (FY2025 spending)</t>
        </is>
      </c>
      <c r="D14" s="9">
        <f>Assumptions!B31*D5</f>
        <v/>
      </c>
    </row>
    <row r="15">
      <c r="A15" s="3" t="inlineStr">
        <is>
          <t>Unassigned balance above the floor</t>
        </is>
      </c>
      <c r="D15" s="9">
        <f>Assumptions!B30-D14</f>
        <v/>
      </c>
    </row>
    <row r="16">
      <c r="A16" s="3" t="inlineStr">
        <is>
          <t>Average annual drawdown (FY2024-25)</t>
        </is>
      </c>
      <c r="D16" s="9">
        <f>-AVERAGE(C8:D8)</f>
        <v/>
      </c>
    </row>
    <row r="17">
      <c r="A17" s="3" t="inlineStr">
        <is>
          <t>Years of runway at current pace</t>
        </is>
      </c>
      <c r="D17" s="20">
        <f>IFERROR(D15/D16,0)</f>
        <v/>
      </c>
    </row>
    <row r="19">
      <c r="A19" s="2" t="inlineStr">
        <is>
          <t>Source: FY2023-24 and FY2024-25 audited financial statements. FY2023 shown as reported in the FY2024 audit's comparative statement.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46" customWidth="1" min="3" max="3"/>
  </cols>
  <sheetData>
    <row r="1">
      <c r="A1" s="1" t="inlineStr">
        <is>
          <t>Closure of NMES: Net-Savings Test</t>
        </is>
      </c>
    </row>
    <row r="2">
      <c r="A2" s="2" t="inlineStr">
        <is>
          <t>Gross site cost is not net saving — students, teachers, and their SEEK funding move to receiving schools.</t>
        </is>
      </c>
    </row>
    <row r="4">
      <c r="A4" s="4" t="inlineStr">
        <is>
          <t>THE CLAIM AND THE OFFICIAL DATA</t>
        </is>
      </c>
    </row>
    <row r="5">
      <c r="A5" s="3" t="inlineStr">
        <is>
          <t>Superintendent's stated gross cost (public statement, not yet documented)</t>
        </is>
      </c>
      <c r="B5" s="8" t="n">
        <v>1000000</v>
      </c>
      <c r="C5" s="2" t="inlineStr">
        <is>
          <t>WKYT, July 2026 — treated as a claim to verify</t>
        </is>
      </c>
    </row>
    <row r="6">
      <c r="A6" s="3" t="inlineStr">
        <is>
          <t>Total site spending (state ESSA basis)</t>
        </is>
      </c>
      <c r="B6" s="18">
        <f>Assumptions!B14*Assumptions!B11</f>
        <v/>
      </c>
    </row>
    <row r="7">
      <c r="A7" s="3" t="inlineStr">
        <is>
          <t>State/local share of site spending</t>
        </is>
      </c>
      <c r="B7" s="18">
        <f>Assumptions!B15*Assumptions!B11</f>
        <v/>
      </c>
    </row>
    <row r="9">
      <c r="A9" s="4" t="inlineStr">
        <is>
          <t>RECURRING SAVINGS (costs that truly disappear)</t>
        </is>
      </c>
    </row>
    <row r="10">
      <c r="A10" s="3" t="inlineStr">
        <is>
          <t>Principal &amp; office</t>
        </is>
      </c>
      <c r="B10" s="18">
        <f>Assumptions!B51</f>
        <v/>
      </c>
    </row>
    <row r="11">
      <c r="A11" s="3" t="inlineStr">
        <is>
          <t>Plant, utilities, insurance (net of carrying cost)</t>
        </is>
      </c>
      <c r="B11" s="18">
        <f>Assumptions!B52</f>
        <v/>
      </c>
    </row>
    <row r="12">
      <c r="A12" s="3" t="inlineStr">
        <is>
          <t>Teaching positions eliminated (via attrition)</t>
        </is>
      </c>
      <c r="B12" s="18">
        <f>Assumptions!B53*Assumptions!B41</f>
        <v/>
      </c>
    </row>
    <row r="13">
      <c r="A13" s="21" t="inlineStr">
        <is>
          <t>Gross avoidable cost</t>
        </is>
      </c>
      <c r="B13" s="22">
        <f>SUM(B10:B12)</f>
        <v/>
      </c>
    </row>
    <row r="15">
      <c r="A15" s="4" t="inlineStr">
        <is>
          <t>RECURRING OFFSETS (new costs and lost revenue)</t>
        </is>
      </c>
    </row>
    <row r="16">
      <c r="A16" s="3" t="inlineStr">
        <is>
          <t>Added busing</t>
        </is>
      </c>
      <c r="B16" s="18">
        <f>Assumptions!B54</f>
        <v/>
      </c>
    </row>
    <row r="17">
      <c r="A17" s="3" t="inlineStr">
        <is>
          <t>SEEK revenue lost to departing students (FY2027 base)</t>
        </is>
      </c>
      <c r="B17" s="18">
        <f>Assumptions!B55*Assumptions!B6</f>
        <v/>
      </c>
    </row>
    <row r="18">
      <c r="A18" s="21" t="inlineStr">
        <is>
          <t>Total offsets</t>
        </is>
      </c>
      <c r="B18" s="22">
        <f>SUM(B16:B17)</f>
        <v/>
      </c>
    </row>
    <row r="20">
      <c r="A20" s="21" t="inlineStr">
        <is>
          <t>NET RECURRING GENERAL FUND SAVING</t>
        </is>
      </c>
      <c r="B20" s="23">
        <f>B13-B18</f>
        <v/>
      </c>
    </row>
    <row r="21">
      <c r="A21" s="3" t="inlineStr">
        <is>
          <t>As a share of the FY2025 structural deficit</t>
        </is>
      </c>
      <c r="B21" s="19">
        <f>B20/(Assumptions!B24-Assumptions!B21)</f>
        <v/>
      </c>
    </row>
    <row r="22">
      <c r="A22" s="3" t="inlineStr">
        <is>
          <t>One-time transition cost (year one)</t>
        </is>
      </c>
      <c r="B22" s="18">
        <f>Assumptions!B56</f>
        <v/>
      </c>
    </row>
    <row r="24">
      <c r="A24" s="4" t="inlineStr">
        <is>
          <t>SENSITIVITY: STUDENTS LEAVING THE DISTRICT</t>
        </is>
      </c>
    </row>
    <row r="25">
      <c r="A25" s="21" t="inlineStr">
        <is>
          <t>Students leaving</t>
        </is>
      </c>
      <c r="B25" s="21" t="inlineStr">
        <is>
          <t>Net recurring saving</t>
        </is>
      </c>
    </row>
    <row r="26">
      <c r="A26" s="10" t="n">
        <v>0</v>
      </c>
      <c r="B26" s="9">
        <f>$B$13-Assumptions!$B$54-A26*Assumptions!$B$6</f>
        <v/>
      </c>
    </row>
    <row r="27">
      <c r="A27" s="10" t="n">
        <v>10</v>
      </c>
      <c r="B27" s="9">
        <f>$B$13-Assumptions!$B$54-A27*Assumptions!$B$6</f>
        <v/>
      </c>
    </row>
    <row r="28">
      <c r="A28" s="10" t="n">
        <v>20</v>
      </c>
      <c r="B28" s="9">
        <f>$B$13-Assumptions!$B$54-A28*Assumptions!$B$6</f>
        <v/>
      </c>
    </row>
    <row r="29">
      <c r="A29" s="10" t="n">
        <v>30</v>
      </c>
      <c r="B29" s="9">
        <f>$B$13-Assumptions!$B$54-A29*Assumptions!$B$6</f>
        <v/>
      </c>
    </row>
    <row r="31">
      <c r="A31" s="2" t="inlineStr">
        <is>
          <t>Each departing student removes at least the SEEK base guarantee, every year, permanently.</t>
        </is>
      </c>
    </row>
    <row r="33">
      <c r="A33" s="4" t="inlineStr">
        <is>
          <t>DISTRICT-FAVORABLE CASE (red-team): 5 positions cut, low busing, no departures</t>
        </is>
      </c>
    </row>
    <row r="34">
      <c r="A34" s="3" t="inlineStr">
        <is>
          <t>Net recurring saving, favorable case</t>
        </is>
      </c>
      <c r="B34" s="18">
        <f>Assumptions!B51+Assumptions!B52+Assumptions!B66*Assumptions!B41-Assumptions!B67</f>
        <v/>
      </c>
    </row>
    <row r="35">
      <c r="A35" s="3" t="inlineStr">
        <is>
          <t>As a share of the FY2025 structural deficit</t>
        </is>
      </c>
      <c r="B35" s="19">
        <f>B34/(Assumptions!B24-Assumptions!B21)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Grow the Kings: Nonresident Enrollment Model (HB 563 / KRS 157.350)</t>
        </is>
      </c>
    </row>
    <row r="2">
      <c r="A2" s="2" t="inlineStr">
        <is>
          <t>SEEK funding follows nonresident students since July 2022; no agreement from the home district is required.</t>
        </is>
      </c>
    </row>
    <row r="4">
      <c r="A4" s="17" t="inlineStr"/>
      <c r="B4" s="17" t="inlineStr">
        <is>
          <t>FY2027</t>
        </is>
      </c>
      <c r="C4" s="17" t="inlineStr">
        <is>
          <t>FY2028</t>
        </is>
      </c>
      <c r="D4" s="17" t="inlineStr">
        <is>
          <t>FY2029</t>
        </is>
      </c>
    </row>
    <row r="5">
      <c r="A5" s="3" t="inlineStr">
        <is>
          <t>Transfer students (scenario)</t>
        </is>
      </c>
      <c r="B5" s="24">
        <f>Assumptions!B59</f>
        <v/>
      </c>
      <c r="C5" s="24">
        <f>Assumptions!B60</f>
        <v/>
      </c>
      <c r="D5" s="24">
        <f>Assumptions!B61</f>
        <v/>
      </c>
    </row>
    <row r="6">
      <c r="A6" s="3" t="inlineStr">
        <is>
          <t>Enrolled (capped at open seats)</t>
        </is>
      </c>
      <c r="B6" s="11">
        <f>MIN(B5,Assumptions!$B$13)</f>
        <v/>
      </c>
      <c r="C6" s="11">
        <f>MIN(C5,Assumptions!$B$13)</f>
        <v/>
      </c>
      <c r="D6" s="11">
        <f>MIN(D5,Assumptions!$B$13)</f>
        <v/>
      </c>
    </row>
    <row r="7">
      <c r="A7" s="3" t="inlineStr">
        <is>
          <t>SEEK base per pupil</t>
        </is>
      </c>
      <c r="B7" s="18">
        <f>Assumptions!B6</f>
        <v/>
      </c>
      <c r="C7" s="18">
        <f>Assumptions!B7</f>
        <v/>
      </c>
      <c r="D7" s="18">
        <f>Assumptions!B8</f>
        <v/>
      </c>
    </row>
    <row r="8">
      <c r="A8" s="3" t="inlineStr">
        <is>
          <t>New SEEK revenue (base only)</t>
        </is>
      </c>
      <c r="B8" s="9">
        <f>B6*B7</f>
        <v/>
      </c>
      <c r="C8" s="9">
        <f>C6*C7</f>
        <v/>
      </c>
      <c r="D8" s="9">
        <f>D6*D7</f>
        <v/>
      </c>
    </row>
    <row r="9">
      <c r="A9" s="3" t="inlineStr">
        <is>
          <t>Variable cost of added students</t>
        </is>
      </c>
      <c r="B9" s="9">
        <f>B6*Assumptions!$B$62</f>
        <v/>
      </c>
      <c r="C9" s="9">
        <f>C6*Assumptions!$B$62</f>
        <v/>
      </c>
      <c r="D9" s="9">
        <f>D6*Assumptions!$B$62</f>
        <v/>
      </c>
    </row>
    <row r="10">
      <c r="A10" s="3" t="inlineStr">
        <is>
          <t>Added teacher (once threshold passed)</t>
        </is>
      </c>
      <c r="B10" s="9">
        <f>IF(B6&gt;Assumptions!$B$63,Assumptions!$B$41,0)</f>
        <v/>
      </c>
      <c r="C10" s="9">
        <f>IF(C6&gt;Assumptions!$B$63,Assumptions!$B$41,0)</f>
        <v/>
      </c>
      <c r="D10" s="9">
        <f>IF(D6&gt;Assumptions!$B$63,Assumptions!$B$41,0)</f>
        <v/>
      </c>
    </row>
    <row r="11">
      <c r="A11" s="21" t="inlineStr">
        <is>
          <t>Net new recurring revenue</t>
        </is>
      </c>
      <c r="B11" s="23">
        <f>B8-B9-B10</f>
        <v/>
      </c>
      <c r="C11" s="23">
        <f>C8-C9-C10</f>
        <v/>
      </c>
      <c r="D11" s="23">
        <f>D8-D9-D10</f>
        <v/>
      </c>
    </row>
    <row r="12">
      <c r="A12" s="3" t="inlineStr">
        <is>
          <t>Cumulative</t>
        </is>
      </c>
      <c r="B12" s="9">
        <f>B11</f>
        <v/>
      </c>
      <c r="C12" s="9">
        <f>B12+C11</f>
        <v/>
      </c>
      <c r="D12" s="9">
        <f>C12+D11</f>
        <v/>
      </c>
    </row>
    <row r="14">
      <c r="A14" s="25" t="inlineStr">
        <is>
          <t>Upside excluded from this model: tuition, SEEK add-on weights, preschool and day-care expansion, and in-county boundary redistricting, which fills seats with students the district already serves.</t>
        </is>
      </c>
    </row>
    <row r="15">
      <c r="A15" s="25" t="inlineStr">
        <is>
          <t>Context: NMES enrolled 160 students as recently as 2019-20 (see School_Data) - the growth targets restore recent history, they do not exceed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58" customWidth="1" min="3" max="3"/>
  </cols>
  <sheetData>
    <row r="1">
      <c r="A1" s="1" t="inlineStr">
        <is>
          <t>Fill the Kings' Seats: Boundary Rebalancing and Cross-County Scenario</t>
        </is>
      </c>
    </row>
    <row r="2">
      <c r="A2" s="25" t="inlineStr">
        <is>
          <t>A planning scenario, not a routing study. The district holds the geocoded student counts and routing data a true optimization needs; releasing them is a records ask in the report.</t>
        </is>
      </c>
    </row>
    <row r="4">
      <c r="A4" s="4" t="inlineStr">
        <is>
          <t>CURRENT ELEMENTARY MAP (2024-25 counts as cited in report Sections 4 and 9)</t>
        </is>
      </c>
    </row>
    <row r="5">
      <c r="A5" s="3" t="inlineStr">
        <is>
          <t>NMES enrollment</t>
        </is>
      </c>
      <c r="B5" s="24">
        <f>Assumptions!B11</f>
        <v/>
      </c>
    </row>
    <row r="6">
      <c r="A6" s="3" t="inlineStr">
        <is>
          <t>NMES rated capacity</t>
        </is>
      </c>
      <c r="B6" s="24">
        <f>Assumptions!B12</f>
        <v/>
      </c>
    </row>
    <row r="7">
      <c r="A7" s="3" t="inlineStr">
        <is>
          <t>NMES open seats</t>
        </is>
      </c>
      <c r="B7" s="11">
        <f>B6-B5</f>
        <v/>
      </c>
    </row>
    <row r="8">
      <c r="A8" s="3" t="inlineStr">
        <is>
          <t>Bourbon Central enrollment</t>
        </is>
      </c>
      <c r="B8" s="10" t="n">
        <v>459</v>
      </c>
      <c r="C8" s="2" t="inlineStr">
        <is>
          <t>Report Section 4; confirm against current-year infinite campus counts</t>
        </is>
      </c>
    </row>
    <row r="9">
      <c r="A9" s="3" t="inlineStr">
        <is>
          <t>Cane Ridge enrollment</t>
        </is>
      </c>
      <c r="B9" s="10" t="n">
        <v>453</v>
      </c>
      <c r="C9" s="2" t="inlineStr">
        <is>
          <t>Report Section 4</t>
        </is>
      </c>
    </row>
    <row r="11">
      <c r="A11" s="4" t="inlineStr">
        <is>
          <t>SCENARIO LEVERS (yellow = judgment calls the district's data should replace)</t>
        </is>
      </c>
    </row>
    <row r="12">
      <c r="A12" s="3" t="inlineStr">
        <is>
          <t>Students rezoned to NMES from the eastern edges of the Paris-area zones</t>
        </is>
      </c>
      <c r="B12" s="16" t="n">
        <v>30</v>
      </c>
      <c r="C12" s="25" t="inlineStr">
        <is>
          <t>Chosen from families already living closer to NMES than to their assigned school; requires the geocoded counts</t>
        </is>
      </c>
    </row>
    <row r="13">
      <c r="A13" s="3" t="inlineStr">
        <is>
          <t>Cross-county transfers under HB 563 (KRS 157.350)</t>
        </is>
      </c>
      <c r="B13" s="16" t="n">
        <v>16</v>
      </c>
      <c r="C13" s="25" t="inlineStr">
        <is>
          <t>SEEK funding follows each transfer; no home-district agreement required since July 2022</t>
        </is>
      </c>
    </row>
    <row r="14">
      <c r="A14" s="3" t="inlineStr">
        <is>
          <t>NMES enrollment after</t>
        </is>
      </c>
      <c r="B14" s="11">
        <f>B5+B12+B13</f>
        <v/>
      </c>
    </row>
    <row r="15">
      <c r="A15" s="3" t="inlineStr">
        <is>
          <t>Fill check vs capacity</t>
        </is>
      </c>
      <c r="B15" s="11">
        <f>B6-B14</f>
        <v/>
      </c>
      <c r="C15" s="2" t="inlineStr">
        <is>
          <t>Zero = exactly full</t>
        </is>
      </c>
    </row>
    <row r="16">
      <c r="A16" s="3" t="inlineStr">
        <is>
          <t>Bourbon Central after (half the rezone)</t>
        </is>
      </c>
      <c r="B16" s="11">
        <f>B8-B12/2</f>
        <v/>
      </c>
    </row>
    <row r="17">
      <c r="A17" s="3" t="inlineStr">
        <is>
          <t>Cane Ridge after (half the rezone)</t>
        </is>
      </c>
      <c r="B17" s="11">
        <f>B9-B12/2</f>
        <v/>
      </c>
    </row>
    <row r="19">
      <c r="A19" s="4" t="inlineStr">
        <is>
          <t>CLASSROOMS</t>
        </is>
      </c>
    </row>
    <row r="20">
      <c r="A20" s="3" t="inlineStr">
        <is>
          <t>NMES classroom sections</t>
        </is>
      </c>
      <c r="B20" s="10" t="n">
        <v>9</v>
      </c>
      <c r="C20" s="2" t="inlineStr">
        <is>
          <t>9.41 classroom FTE, NCES; K-5 across nine homerooms</t>
        </is>
      </c>
    </row>
    <row r="21">
      <c r="A21" s="3" t="inlineStr">
        <is>
          <t>Average class size today</t>
        </is>
      </c>
      <c r="B21" s="20">
        <f>B5/B20</f>
        <v/>
      </c>
    </row>
    <row r="22">
      <c r="A22" s="3" t="inlineStr">
        <is>
          <t>Average class size at capacity</t>
        </is>
      </c>
      <c r="B22" s="20">
        <f>B14/B20</f>
        <v/>
      </c>
    </row>
    <row r="23">
      <c r="A23" s="2" t="inlineStr">
        <is>
          <t>Statutory caps (KRS 157.360): 24 in K-3, 28 in grade 4, 29 in grades 5-6. The scenario adds no NMES teachers.</t>
        </is>
      </c>
    </row>
    <row r="25">
      <c r="A25" s="4" t="inlineStr">
        <is>
          <t>RECURRING DOLLARS</t>
        </is>
      </c>
    </row>
    <row r="26">
      <c r="A26" s="3" t="inlineStr">
        <is>
          <t>New SEEK revenue from cross-county transfers (FY2027 base)</t>
        </is>
      </c>
      <c r="B26" s="18">
        <f>B13*Assumptions!B6</f>
        <v/>
      </c>
    </row>
    <row r="27">
      <c r="A27" s="3" t="inlineStr">
        <is>
          <t>Variable cost of all added students</t>
        </is>
      </c>
      <c r="B27" s="18">
        <f>(B12+B13)*Assumptions!B62</f>
        <v/>
      </c>
    </row>
    <row r="28">
      <c r="A28" s="3" t="inlineStr">
        <is>
          <t>Sections avoided or redeployed at receiving schools, low (count)</t>
        </is>
      </c>
      <c r="B28" s="16" t="n">
        <v>1</v>
      </c>
    </row>
    <row r="29">
      <c r="A29" s="3" t="inlineStr">
        <is>
          <t>Sections avoided or redeployed at receiving schools, high (count)</t>
        </is>
      </c>
      <c r="B29" s="16" t="n">
        <v>2</v>
      </c>
    </row>
    <row r="30">
      <c r="A30" s="21" t="inlineStr">
        <is>
          <t>Net recurring benefit, low</t>
        </is>
      </c>
      <c r="B30" s="23">
        <f>B26-B27+B28*Assumptions!B41</f>
        <v/>
      </c>
    </row>
    <row r="31">
      <c r="A31" s="21" t="inlineStr">
        <is>
          <t>Net recurring benefit, high</t>
        </is>
      </c>
      <c r="B31" s="22">
        <f>B26-B27+B29*Assumptions!B41</f>
        <v/>
      </c>
    </row>
    <row r="33">
      <c r="A33" s="4" t="inlineStr">
        <is>
          <t>PER-STUDENT ARITHMETIC (the number the closure argument leans on)</t>
        </is>
      </c>
    </row>
    <row r="34">
      <c r="A34" s="3" t="inlineStr">
        <is>
          <t>NMES site spending today</t>
        </is>
      </c>
      <c r="B34" s="18">
        <f>Assumptions!B14*Assumptions!B11</f>
        <v/>
      </c>
    </row>
    <row r="35">
      <c r="A35" s="3" t="inlineStr">
        <is>
          <t>Per student today</t>
        </is>
      </c>
      <c r="B35" s="18">
        <f>Assumptions!B14</f>
        <v/>
      </c>
    </row>
    <row r="36">
      <c r="A36" s="3" t="inlineStr">
        <is>
          <t>Per student at capacity (site cost plus variable cost, over 174)</t>
        </is>
      </c>
      <c r="B36" s="9">
        <f>(B34+(B12+B13)*Assumptions!B62)/B14</f>
        <v/>
      </c>
    </row>
    <row r="37">
      <c r="A37" s="3" t="inlineStr">
        <is>
          <t>Change</t>
        </is>
      </c>
      <c r="B37" s="19">
        <f>B36/B35-1</f>
        <v/>
      </c>
    </row>
    <row r="39">
      <c r="A39" s="4" t="inlineStr">
        <is>
          <t>ASSUMPTIONS THE DISTRICT'S DATA SHOULD REPLACE</t>
        </is>
      </c>
    </row>
    <row r="40">
      <c r="A40" s="25" t="inlineStr">
        <is>
          <t>Rezoned students are drawn only from homes closer to NMES than to their assigned school, so bus routes shorten or hold even; the district's routing data would settle it.</t>
        </is>
      </c>
    </row>
    <row r="41">
      <c r="A41" s="25" t="inlineStr">
        <is>
          <t>Receiving-school relief is booked only as one to two avoided or redeployed sections; grade-by-grade capacities at Bourbon Central and Cane Ridge are a records ask (report Question 3).</t>
        </is>
      </c>
    </row>
    <row r="42">
      <c r="A42" s="25" t="inlineStr">
        <is>
          <t>SEEK for rezoned in-county students is unchanged (same district); only cross-county transfers add revenue.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58" customWidth="1" min="3" max="3"/>
  </cols>
  <sheetData>
    <row r="1">
      <c r="A1" s="1" t="inlineStr">
        <is>
          <t>Transportation and Geography: Density, Route Miles, and What Closure Adds</t>
        </is>
      </c>
    </row>
    <row r="2">
      <c r="A2" s="25" t="inlineStr">
        <is>
          <t>Estimates built from public geography (census counts, county land area, highway distances). The district's annual T-1 transportation report, zone map, and geocoded counts are the authoritative dataset; releasing them is a records ask.</t>
        </is>
      </c>
    </row>
    <row r="4">
      <c r="A4" s="4" t="inlineStr">
        <is>
          <t>GEOGRAPHY AND STUDENT DENSITY</t>
        </is>
      </c>
    </row>
    <row r="5">
      <c r="A5" s="3" t="inlineStr">
        <is>
          <t>Bourbon County land area (square miles)</t>
        </is>
      </c>
      <c r="B5" s="10" t="n">
        <v>290</v>
      </c>
      <c r="C5" s="2" t="inlineStr">
        <is>
          <t>U.S. Census: 289.7 land square miles</t>
        </is>
      </c>
    </row>
    <row r="6">
      <c r="A6" s="3" t="inlineStr">
        <is>
          <t>Paris city population, 2020</t>
        </is>
      </c>
      <c r="B6" s="10" t="n">
        <v>10171</v>
      </c>
      <c r="C6" s="2" t="inlineStr">
        <is>
          <t>2020 Census</t>
        </is>
      </c>
    </row>
    <row r="7">
      <c r="A7" s="3" t="inlineStr">
        <is>
          <t>Millersburg population, 2020</t>
        </is>
      </c>
      <c r="B7" s="10" t="n">
        <v>747</v>
      </c>
      <c r="C7" s="2" t="inlineStr">
        <is>
          <t>2020 Census</t>
        </is>
      </c>
    </row>
    <row r="8">
      <c r="A8" s="3" t="inlineStr">
        <is>
          <t>North Middletown population, 2020</t>
        </is>
      </c>
      <c r="B8" s="24">
        <f>Demographics!B29</f>
        <v/>
      </c>
      <c r="C8" s="2" t="inlineStr">
        <is>
          <t>Demographics tab</t>
        </is>
      </c>
    </row>
    <row r="9">
      <c r="A9" s="3" t="inlineStr">
        <is>
          <t>NMES zone share of county area</t>
        </is>
      </c>
      <c r="B9" s="15" t="n">
        <v>0.32</v>
      </c>
      <c r="C9" s="2" t="inlineStr">
        <is>
          <t>Eastern portion of the county; replace with the district's actual zone map</t>
        </is>
      </c>
    </row>
    <row r="10">
      <c r="A10" s="3" t="inlineStr">
        <is>
          <t>NMES zone area (sq mi)</t>
        </is>
      </c>
      <c r="B10" s="26">
        <f>B5*B9</f>
        <v/>
      </c>
    </row>
    <row r="11">
      <c r="A11" s="3" t="inlineStr">
        <is>
          <t>Paris-area zones (sq mi)</t>
        </is>
      </c>
      <c r="B11" s="26">
        <f>B5-B10</f>
        <v/>
      </c>
    </row>
    <row r="12">
      <c r="A12" s="3" t="inlineStr">
        <is>
          <t>NMES elementary students</t>
        </is>
      </c>
      <c r="B12" s="24">
        <f>Assumptions!B11</f>
        <v/>
      </c>
    </row>
    <row r="13">
      <c r="A13" s="3" t="inlineStr">
        <is>
          <t>Paris-area elementary students</t>
        </is>
      </c>
      <c r="B13" s="24">
        <f>Redistricting!B8+Redistricting!B9</f>
        <v/>
      </c>
    </row>
    <row r="14">
      <c r="A14" s="3" t="inlineStr">
        <is>
          <t>Students per square mile, NMES zone</t>
        </is>
      </c>
      <c r="B14" s="20">
        <f>B12/B10</f>
        <v/>
      </c>
    </row>
    <row r="15">
      <c r="A15" s="3" t="inlineStr">
        <is>
          <t>Students per square mile, Paris-area zones</t>
        </is>
      </c>
      <c r="B15" s="20">
        <f>B13/B11</f>
        <v/>
      </c>
    </row>
    <row r="16">
      <c r="A16" s="3" t="inlineStr">
        <is>
          <t>Students per square mile, district elementary overall</t>
        </is>
      </c>
      <c r="B16" s="20">
        <f>(B12+B13)/B5</f>
        <v/>
      </c>
    </row>
    <row r="17">
      <c r="A17" s="25" t="inlineStr">
        <is>
          <t>State law (KRS 157.370) funds transportation on transported pupils per square mile: low density earns a higher per-pupil allotment because it costs more to serve. The statutory calculation has been funded below its own formula in every budget since 2005.</t>
        </is>
      </c>
    </row>
    <row r="19">
      <c r="A19" s="4" t="inlineStr">
        <is>
          <t>WHAT CLOSURE ADDS: ROUTE-MILE ARITHMETIC (yellow = replace with district T-1 data)</t>
        </is>
      </c>
    </row>
    <row r="20">
      <c r="A20" s="3" t="inlineStr">
        <is>
          <t>Share of NMES students riding the bus</t>
        </is>
      </c>
      <c r="B20" s="15" t="n">
        <v>0.85</v>
      </c>
    </row>
    <row r="21">
      <c r="A21" s="3" t="inlineStr">
        <is>
          <t>Riders</t>
        </is>
      </c>
      <c r="B21" s="11">
        <f>ROUND(B20*B12,0)</f>
        <v/>
      </c>
    </row>
    <row r="22">
      <c r="A22" s="3" t="inlineStr">
        <is>
          <t>Rural routes serving NMES today</t>
        </is>
      </c>
      <c r="B22" s="16" t="n">
        <v>3</v>
      </c>
    </row>
    <row r="23">
      <c r="A23" s="3" t="inlineStr">
        <is>
          <t>Added distance to the Paris schools, one way (miles)</t>
        </is>
      </c>
      <c r="B23" s="10" t="n">
        <v>10</v>
      </c>
      <c r="C23" s="2" t="inlineStr">
        <is>
          <t>US 460, North Middletown to Paris</t>
        </is>
      </c>
    </row>
    <row r="24">
      <c r="A24" s="3" t="inlineStr">
        <is>
          <t>Added bus-miles per route per day (out and back, AM and PM)</t>
        </is>
      </c>
      <c r="B24" s="11">
        <f>B23*4</f>
        <v/>
      </c>
    </row>
    <row r="25">
      <c r="A25" s="3" t="inlineStr">
        <is>
          <t>School days per year</t>
        </is>
      </c>
      <c r="B25" s="16" t="n">
        <v>170</v>
      </c>
    </row>
    <row r="26">
      <c r="A26" s="3" t="inlineStr">
        <is>
          <t>Added bus-miles per year</t>
        </is>
      </c>
      <c r="B26" s="11">
        <f>B22*B24*B25</f>
        <v/>
      </c>
    </row>
    <row r="27">
      <c r="A27" s="3" t="inlineStr">
        <is>
          <t>Marginal cost per bus-mile, low</t>
        </is>
      </c>
      <c r="B27" s="27" t="n">
        <v>2.5</v>
      </c>
      <c r="C27" s="2" t="inlineStr">
        <is>
          <t>Fuel, maintenance, driver time; replace with district cost data</t>
        </is>
      </c>
    </row>
    <row r="28">
      <c r="A28" s="3" t="inlineStr">
        <is>
          <t>Marginal cost per bus-mile, high</t>
        </is>
      </c>
      <c r="B28" s="27" t="n">
        <v>4.5</v>
      </c>
    </row>
    <row r="29">
      <c r="A29" s="3" t="inlineStr">
        <is>
          <t>Added cost, mileage basis, low</t>
        </is>
      </c>
      <c r="B29" s="9">
        <f>B26*B27</f>
        <v/>
      </c>
    </row>
    <row r="30">
      <c r="A30" s="3" t="inlineStr">
        <is>
          <t>Added cost, mileage basis, high</t>
        </is>
      </c>
      <c r="B30" s="9">
        <f>B26*B28</f>
        <v/>
      </c>
    </row>
    <row r="31">
      <c r="A31" s="3" t="inlineStr">
        <is>
          <t>Additional buses if route tiers break (high case)</t>
        </is>
      </c>
      <c r="B31" s="16" t="n">
        <v>1</v>
      </c>
    </row>
    <row r="32">
      <c r="A32" s="3" t="inlineStr">
        <is>
          <t>All-in cost per additional bus-year</t>
        </is>
      </c>
      <c r="B32" s="14" t="n">
        <v>55000</v>
      </c>
    </row>
    <row r="33">
      <c r="A33" s="21" t="inlineStr">
        <is>
          <t>Bottom-up added busing cost, low</t>
        </is>
      </c>
      <c r="B33" s="23">
        <f>B29</f>
        <v/>
      </c>
    </row>
    <row r="34">
      <c r="A34" s="21" t="inlineStr">
        <is>
          <t>Bottom-up added busing cost, high</t>
        </is>
      </c>
      <c r="B34" s="22">
        <f>B30+B31*B32</f>
        <v/>
      </c>
    </row>
    <row r="35">
      <c r="A35" s="3" t="inlineStr">
        <is>
          <t>Report's planning range (Closure_Model offset basis)</t>
        </is>
      </c>
      <c r="B35" s="2" t="inlineStr">
        <is>
          <t>Between $75,000 and $200,000</t>
        </is>
      </c>
    </row>
    <row r="36">
      <c r="A36" s="25" t="inlineStr">
        <is>
          <t>The bottom-up estimate lands inside the planning range; the $137,500 midpoint used in the Closure_Model stands. Note what closure does not remove: every square mile of the eastern county stays in the coverage area, with longer rides on it, roughly 15 to 20 added minutes each way on US 460.</t>
        </is>
      </c>
    </row>
    <row r="38">
      <c r="A38" s="4" t="inlineStr">
        <is>
          <t>WHAT REBALANCING CHANGES (Redistricting tab scenario)</t>
        </is>
      </c>
    </row>
    <row r="39">
      <c r="A39" s="3" t="inlineStr">
        <is>
          <t>Students rezoned to NMES</t>
        </is>
      </c>
      <c r="B39" s="24">
        <f>Redistricting!B12</f>
        <v/>
      </c>
    </row>
    <row r="40">
      <c r="A40" s="3" t="inlineStr">
        <is>
          <t>Stem miles saved per affected route, one way</t>
        </is>
      </c>
      <c r="B40" s="16" t="n">
        <v>3</v>
      </c>
      <c r="C40" s="2" t="inlineStr">
        <is>
          <t>Rezoned families live closer to NMES than to their assigned school</t>
        </is>
      </c>
    </row>
    <row r="41">
      <c r="A41" s="3" t="inlineStr">
        <is>
          <t>Affected routes</t>
        </is>
      </c>
      <c r="B41" s="16" t="n">
        <v>2</v>
      </c>
    </row>
    <row r="42">
      <c r="A42" s="3" t="inlineStr">
        <is>
          <t>Bus-miles saved per year</t>
        </is>
      </c>
      <c r="B42" s="11">
        <f>B41*B40*4*B25</f>
        <v/>
      </c>
    </row>
    <row r="43">
      <c r="A43" s="3" t="inlineStr">
        <is>
          <t>Transport saving, low</t>
        </is>
      </c>
      <c r="B43" s="9">
        <f>B42*B27</f>
        <v/>
      </c>
    </row>
    <row r="44">
      <c r="A44" s="3" t="inlineStr">
        <is>
          <t>Transport saving, high</t>
        </is>
      </c>
      <c r="B44" s="9">
        <f>B42*B28</f>
        <v/>
      </c>
    </row>
    <row r="45">
      <c r="A45" s="2" t="inlineStr">
        <is>
          <t>Rebalancing is transport-neutral to modestly positive, the opposite sign of closure.</t>
        </is>
      </c>
    </row>
    <row r="47">
      <c r="A47" s="4" t="inlineStr">
        <is>
          <t>DISTRICT-WIDE CONTEXT</t>
        </is>
      </c>
    </row>
    <row r="48">
      <c r="A48" s="3" t="inlineStr">
        <is>
          <t>Transportation expense, FY2025</t>
        </is>
      </c>
      <c r="B48" s="18">
        <f>Assumptions!B42</f>
        <v/>
      </c>
    </row>
    <row r="49">
      <c r="A49" s="3" t="inlineStr">
        <is>
          <t>Average Daily Attendance, FY2025</t>
        </is>
      </c>
      <c r="B49" s="28" t="n">
        <v>2242.5</v>
      </c>
      <c r="C49" s="2" t="inlineStr">
        <is>
          <t>FY2025 audit</t>
        </is>
      </c>
    </row>
    <row r="50">
      <c r="A50" s="3" t="inlineStr">
        <is>
          <t>Transportation cost per student in attendance</t>
        </is>
      </c>
      <c r="B50" s="9">
        <f>B48/B49</f>
        <v/>
      </c>
    </row>
    <row r="51">
      <c r="A51" s="3" t="inlineStr">
        <is>
          <t>Optimization potential at 5 to 10 percent (Alternatives menu)</t>
        </is>
      </c>
      <c r="B51" s="18">
        <f>Assumptions!B42*Assumptions!B43</f>
        <v/>
      </c>
    </row>
    <row r="52">
      <c r="A52" s="3" t="inlineStr"/>
      <c r="B52" s="18">
        <f>Assumptions!B42*Assumptions!B44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Revenue and Cost Alternatives (no school closed)</t>
        </is>
      </c>
    </row>
    <row r="3">
      <c r="A3" s="17" t="inlineStr">
        <is>
          <t>Measure</t>
        </is>
      </c>
      <c r="B3" s="17" t="inlineStr">
        <is>
          <t>Low ($/yr)</t>
        </is>
      </c>
      <c r="C3" s="17" t="inlineStr">
        <is>
          <t>High ($/yr)</t>
        </is>
      </c>
      <c r="D3" s="17" t="inlineStr">
        <is>
          <t>Basis</t>
        </is>
      </c>
    </row>
    <row r="4">
      <c r="A4" s="3" t="inlineStr">
        <is>
          <t>4% property-tax adjustment (KRS 160.470)</t>
        </is>
      </c>
      <c r="B4" s="18">
        <f>Assumptions!B35*Assumptions!B36</f>
        <v/>
      </c>
      <c r="C4" s="8" t="n">
        <v>450000</v>
      </c>
      <c r="D4" s="2" t="inlineStr">
        <is>
          <t>Low = 4% of FY2025 GF property tax; high allows base growth</t>
        </is>
      </c>
    </row>
    <row r="5">
      <c r="A5" s="3" t="inlineStr">
        <is>
          <t>Improve delinquent-tax recovery (partial)</t>
        </is>
      </c>
      <c r="B5" s="8" t="n">
        <v>60000</v>
      </c>
      <c r="C5" s="8" t="n">
        <v>120000</v>
      </c>
      <c r="D5" s="2" t="inlineStr">
        <is>
          <t>25-50% of FY2025 delinquency of $239,126 (2.4% of certified yield)</t>
        </is>
      </c>
    </row>
    <row r="6">
      <c r="A6" s="3" t="inlineStr">
        <is>
          <t>Attendance recovery (+1-2% ADA)</t>
        </is>
      </c>
      <c r="B6" s="8" t="n">
        <v>100000</v>
      </c>
      <c r="C6" s="8" t="n">
        <v>200000</v>
      </c>
      <c r="D6" s="2" t="inlineStr">
        <is>
          <t>Approx. SEEK value per 1% of ADA</t>
        </is>
      </c>
    </row>
    <row r="7">
      <c r="A7" s="3" t="inlineStr">
        <is>
          <t>Attrition-based staffing alignment</t>
        </is>
      </c>
      <c r="B7" s="18">
        <f>Assumptions!B48*Assumptions!B41</f>
        <v/>
      </c>
      <c r="C7" s="8" t="n">
        <v>425000</v>
      </c>
      <c r="D7" s="2" t="inlineStr">
        <is>
          <t>Low = positions x loaded cost</t>
        </is>
      </c>
    </row>
    <row r="8">
      <c r="A8" s="3" t="inlineStr">
        <is>
          <t>Administrative restraint</t>
        </is>
      </c>
      <c r="B8" s="18">
        <f>Assumptions!B47*(Assumptions!B46-Assumptions!B45)</f>
        <v/>
      </c>
      <c r="C8" s="8" t="n">
        <v>450000</v>
      </c>
      <c r="D8" s="2" t="inlineStr">
        <is>
          <t>Low = rollback share of 2-yr district-admin growth</t>
        </is>
      </c>
    </row>
    <row r="9">
      <c r="A9" s="3" t="inlineStr">
        <is>
          <t>Transportation optimization</t>
        </is>
      </c>
      <c r="B9" s="18">
        <f>Assumptions!B42*Assumptions!B43</f>
        <v/>
      </c>
      <c r="C9" s="18">
        <f>Assumptions!B42*Assumptions!B44</f>
        <v/>
      </c>
      <c r="D9" s="2" t="inlineStr">
        <is>
          <t>5-10% of FY2025 transport expense</t>
        </is>
      </c>
    </row>
    <row r="10">
      <c r="A10" s="3" t="inlineStr">
        <is>
          <t>Medicaid billing, E-rate, meal reimbursements</t>
        </is>
      </c>
      <c r="B10" s="8" t="n">
        <v>100000</v>
      </c>
      <c r="C10" s="8" t="n">
        <v>250000</v>
      </c>
      <c r="D10" s="2" t="inlineStr">
        <is>
          <t>Typical under-collected federal reimbursements</t>
        </is>
      </c>
    </row>
    <row r="11">
      <c r="A11" s="3" t="inlineStr">
        <is>
          <t>Energy performance contracting</t>
        </is>
      </c>
      <c r="B11" s="8" t="n">
        <v>50000</v>
      </c>
      <c r="C11" s="8" t="n">
        <v>150000</v>
      </c>
      <c r="D11" s="2" t="inlineStr">
        <is>
          <t>10-25% of utilities; authorized by 702 KAR 4:160</t>
        </is>
      </c>
    </row>
    <row r="12">
      <c r="A12" s="3" t="inlineStr">
        <is>
          <t>Shared services with Paris Independent</t>
        </is>
      </c>
      <c r="B12" s="8" t="n">
        <v>100000</v>
      </c>
      <c r="C12" s="8" t="n">
        <v>300000</v>
      </c>
      <c r="D12" s="2" t="inlineStr">
        <is>
          <t>Transport, food service, back office</t>
        </is>
      </c>
    </row>
    <row r="13">
      <c r="A13" s="3" t="inlineStr">
        <is>
          <t>Fill NMES to capacity (rebalance + transfers, net)</t>
        </is>
      </c>
      <c r="B13" s="18">
        <f>Redistricting!B30</f>
        <v/>
      </c>
      <c r="C13" s="18">
        <f>Redistricting!B31</f>
        <v/>
      </c>
      <c r="D13" s="2" t="inlineStr">
        <is>
          <t>Boundary rebalancing and cross-county scenario, Redistricting tab</t>
        </is>
      </c>
    </row>
    <row r="14">
      <c r="A14" s="3" t="inlineStr">
        <is>
          <t>NMES multi-age reorganization</t>
        </is>
      </c>
      <c r="B14" s="8" t="n">
        <v>170000</v>
      </c>
      <c r="C14" s="8" t="n">
        <v>255000</v>
      </c>
      <c r="D14" s="2" t="inlineStr">
        <is>
          <t>Six or seven sections instead of nine, via attrition</t>
        </is>
      </c>
    </row>
    <row r="15">
      <c r="A15" s="21" t="inlineStr">
        <is>
          <t>Total identified (ranges overlap; not additive to the penny)</t>
        </is>
      </c>
      <c r="B15" s="23">
        <f>SUM(B4:B14)</f>
        <v/>
      </c>
      <c r="C15" s="23">
        <f>SUM(C4:C14)</f>
        <v/>
      </c>
    </row>
    <row r="17">
      <c r="A17" s="4" t="inlineStr">
        <is>
          <t>COMPARISON</t>
        </is>
      </c>
    </row>
    <row r="18">
      <c r="A18" s="3" t="inlineStr">
        <is>
          <t>Package midpoint (raw sum of ranges)</t>
        </is>
      </c>
      <c r="B18" s="9">
        <f>(B15+C15)/2</f>
        <v/>
      </c>
    </row>
    <row r="19">
      <c r="A19" s="3" t="inlineStr">
        <is>
          <t>Conservative combined estimate, low (haircut for overlap)</t>
        </is>
      </c>
      <c r="B19" s="14" t="n">
        <v>1100000</v>
      </c>
    </row>
    <row r="20">
      <c r="A20" s="3" t="inlineStr">
        <is>
          <t>Conservative combined estimate, high</t>
        </is>
      </c>
      <c r="B20" s="14" t="n">
        <v>2100000</v>
      </c>
    </row>
    <row r="21">
      <c r="A21" s="3" t="inlineStr">
        <is>
          <t>Conservative midpoint (used in Runway sheet)</t>
        </is>
      </c>
      <c r="B21" s="9">
        <f>(B19+B20)/2</f>
        <v/>
      </c>
    </row>
    <row r="22">
      <c r="A22" s="3" t="inlineStr">
        <is>
          <t>Average annual GF drawdown (FY2024-25)</t>
        </is>
      </c>
      <c r="B22" s="18">
        <f>GF_Summary!D16</f>
        <v/>
      </c>
    </row>
    <row r="23">
      <c r="A23" s="3" t="inlineStr">
        <is>
          <t>Closure net saving (base case)</t>
        </is>
      </c>
      <c r="B23" s="18">
        <f>Closure_Model!B20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8" customWidth="1" min="5" max="5"/>
    <col width="44" customWidth="1" min="6" max="6"/>
  </cols>
  <sheetData>
    <row r="1">
      <c r="A1" s="1" t="inlineStr">
        <is>
          <t>Outstanding Bonds — Bourbon County School District Finance Corporation</t>
        </is>
      </c>
    </row>
    <row r="2">
      <c r="A2" s="2" t="inlineStr">
        <is>
          <t>Source: FY2025 audited financial statements, Note 4. Facility funds and debt are restricted; they cannot pay operating costs.</t>
        </is>
      </c>
    </row>
    <row r="4">
      <c r="A4" s="17" t="inlineStr">
        <is>
          <t>Series</t>
        </is>
      </c>
      <c r="B4" s="17" t="inlineStr">
        <is>
          <t>Original</t>
        </is>
      </c>
      <c r="C4" s="17" t="inlineStr">
        <is>
          <t>Rate</t>
        </is>
      </c>
      <c r="D4" s="17" t="inlineStr">
        <is>
          <t>Maturity</t>
        </is>
      </c>
      <c r="E4" s="17" t="inlineStr">
        <is>
          <t>Outstanding 6/30/25</t>
        </is>
      </c>
      <c r="F4" s="17" t="inlineStr">
        <is>
          <t>Note</t>
        </is>
      </c>
    </row>
    <row r="5">
      <c r="A5" s="3" t="inlineStr">
        <is>
          <t>2013</t>
        </is>
      </c>
      <c r="B5" s="8" t="n">
        <v>2255000</v>
      </c>
      <c r="C5" s="3" t="inlineStr">
        <is>
          <t>1.90-2.10%</t>
        </is>
      </c>
      <c r="D5" s="3" t="inlineStr">
        <is>
          <t>2026</t>
        </is>
      </c>
      <c r="E5" s="8" t="n">
        <v>348000</v>
      </c>
      <c r="F5" s="25" t="inlineStr"/>
    </row>
    <row r="6">
      <c r="A6" s="3" t="inlineStr">
        <is>
          <t>2013R</t>
        </is>
      </c>
      <c r="B6" s="8" t="n">
        <v>468000</v>
      </c>
      <c r="C6" s="3" t="inlineStr">
        <is>
          <t>2.75-4.05%</t>
        </is>
      </c>
      <c r="D6" s="3" t="inlineStr">
        <is>
          <t>2033</t>
        </is>
      </c>
      <c r="E6" s="8" t="n">
        <v>585000</v>
      </c>
      <c r="F6" s="25" t="inlineStr">
        <is>
          <t>Audit figures internally inconsistent; maturity typo in audit — district to correct</t>
        </is>
      </c>
    </row>
    <row r="7">
      <c r="A7" s="3" t="inlineStr">
        <is>
          <t>2016</t>
        </is>
      </c>
      <c r="B7" s="8" t="n">
        <v>5700000</v>
      </c>
      <c r="C7" s="3" t="inlineStr">
        <is>
          <t>1.00-3.00%</t>
        </is>
      </c>
      <c r="D7" s="3" t="inlineStr">
        <is>
          <t>2029</t>
        </is>
      </c>
      <c r="E7" s="8" t="n">
        <v>3145000</v>
      </c>
      <c r="F7" s="25" t="inlineStr">
        <is>
          <t>Refunded $5,315,000 of 2009 bonds; NPV savings $314,834</t>
        </is>
      </c>
    </row>
    <row r="8">
      <c r="A8" s="3" t="inlineStr">
        <is>
          <t>2018</t>
        </is>
      </c>
      <c r="B8" s="8" t="n">
        <v>1850000</v>
      </c>
      <c r="C8" s="3" t="inlineStr">
        <is>
          <t>3.50%</t>
        </is>
      </c>
      <c r="D8" s="3" t="inlineStr">
        <is>
          <t>2038</t>
        </is>
      </c>
      <c r="E8" s="8" t="n">
        <v>1560000</v>
      </c>
      <c r="F8" s="25" t="inlineStr"/>
    </row>
    <row r="9">
      <c r="A9" s="3" t="inlineStr">
        <is>
          <t>2020</t>
        </is>
      </c>
      <c r="B9" s="8" t="n">
        <v>3620000</v>
      </c>
      <c r="C9" s="3" t="inlineStr">
        <is>
          <t>0.50-1.85%</t>
        </is>
      </c>
      <c r="D9" s="3" t="inlineStr">
        <is>
          <t>2031</t>
        </is>
      </c>
      <c r="E9" s="8" t="n">
        <v>3405000</v>
      </c>
      <c r="F9" s="25" t="inlineStr">
        <is>
          <t>Refunded $3,410,000 of 2011 bonds; NPV savings $106,627</t>
        </is>
      </c>
    </row>
    <row r="10">
      <c r="A10" s="3" t="inlineStr">
        <is>
          <t>2023</t>
        </is>
      </c>
      <c r="B10" s="8" t="n">
        <v>810000</v>
      </c>
      <c r="C10" s="3" t="inlineStr">
        <is>
          <t>3.65-4.00%</t>
        </is>
      </c>
      <c r="D10" s="3" t="inlineStr">
        <is>
          <t>2034</t>
        </is>
      </c>
      <c r="E10" s="8" t="n">
        <v>755000</v>
      </c>
      <c r="F10" s="25" t="inlineStr">
        <is>
          <t>Purpose to be confirmed from official statement</t>
        </is>
      </c>
    </row>
    <row r="11">
      <c r="A11" s="3" t="inlineStr">
        <is>
          <t>2024</t>
        </is>
      </c>
      <c r="B11" s="8" t="n">
        <v>6055000</v>
      </c>
      <c r="C11" s="3" t="inlineStr">
        <is>
          <t>4.00-5.00%</t>
        </is>
      </c>
      <c r="D11" s="3" t="inlineStr">
        <is>
          <t>2044</t>
        </is>
      </c>
      <c r="E11" s="8" t="n">
        <v>5945290</v>
      </c>
      <c r="F11" s="25" t="inlineStr">
        <is>
          <t>Funds active construction program; purpose to be published</t>
        </is>
      </c>
    </row>
    <row r="12">
      <c r="A12" s="21" t="inlineStr">
        <is>
          <t>Total</t>
        </is>
      </c>
      <c r="B12" s="23">
        <f>SUM(B5:B11)</f>
        <v/>
      </c>
      <c r="E12" s="23">
        <f>SUM(E5:E11)</f>
        <v/>
      </c>
    </row>
    <row r="14">
      <c r="A14" s="4" t="inlineStr">
        <is>
          <t>ANNUAL DEBT SERVICE</t>
        </is>
      </c>
    </row>
    <row r="15">
      <c r="A15" s="3" t="inlineStr">
        <is>
          <t>District-paid, FY2025</t>
        </is>
      </c>
      <c r="B15" s="8" t="n">
        <v>1150216</v>
      </c>
    </row>
    <row r="16">
      <c r="A16" s="3" t="inlineStr">
        <is>
          <t>District-paid, FY2026</t>
        </is>
      </c>
      <c r="B16" s="8" t="n">
        <v>1578700</v>
      </c>
    </row>
    <row r="17">
      <c r="A17" s="3" t="inlineStr">
        <is>
          <t>Increase, FY2025 to FY2026</t>
        </is>
      </c>
      <c r="B17" s="9">
        <f>B16-B15</f>
        <v/>
      </c>
    </row>
    <row r="18">
      <c r="A18" s="3" t="inlineStr">
        <is>
          <t>FY2026 total including state (SFCC) share</t>
        </is>
      </c>
      <c r="B18" s="8" t="n">
        <v>1846159</v>
      </c>
    </row>
    <row r="19">
      <c r="A19" s="3" t="inlineStr">
        <is>
          <t>SFCC-paid principal over life of bonds</t>
        </is>
      </c>
      <c r="B19" s="8" t="n">
        <v>1568809</v>
      </c>
    </row>
    <row r="21">
      <c r="A21" s="4" t="inlineStr">
        <is>
          <t>BONDING CAPACITY: WHAT CLOSURE CAN AND CANNOT CHANGE</t>
        </is>
      </c>
    </row>
    <row r="22">
      <c r="A22" s="3" t="inlineStr">
        <is>
          <t>Average Daily Attendance, FY2025 (SEEK basis)</t>
        </is>
      </c>
      <c r="B22" s="28" t="n">
        <v>2242.5</v>
      </c>
      <c r="F22" s="2" t="inlineStr">
        <is>
          <t>FY2025 audit</t>
        </is>
      </c>
    </row>
    <row r="23">
      <c r="A23" s="3" t="inlineStr">
        <is>
          <t>Capital outlay allotment per year (KRS 157.420, $100 per ADA)</t>
        </is>
      </c>
      <c r="B23" s="9">
        <f>100*B22</f>
        <v/>
      </c>
    </row>
    <row r="24">
      <c r="A24" s="3" t="inlineStr">
        <is>
          <t>Bondable share of capital outlay (702 KAR 4:160 safety factor)</t>
        </is>
      </c>
      <c r="B24" s="13" t="n">
        <v>0.8</v>
      </c>
    </row>
    <row r="25">
      <c r="A25" s="3" t="inlineStr">
        <is>
          <t>Building-fund and debt-fund property tax, FY2025 (the 'nickel' stream)</t>
        </is>
      </c>
      <c r="B25" s="18">
        <f>Tax_History!B33</f>
        <v/>
      </c>
    </row>
    <row r="26">
      <c r="A26" s="3" t="inlineStr">
        <is>
          <t>District-paid debt service, FY2026</t>
        </is>
      </c>
      <c r="B26" s="8" t="n">
        <v>1578700</v>
      </c>
    </row>
    <row r="27">
      <c r="A27" s="3" t="inlineStr">
        <is>
          <t>Annual restricted margin available for new debt (illustrative)</t>
        </is>
      </c>
      <c r="B27" s="29">
        <f>B23*B24+B25-B26</f>
        <v/>
      </c>
      <c r="F27" s="25" t="inlineStr">
        <is>
          <t>Simplified: KDE's official bonding potential statement is the authority and should be published</t>
        </is>
      </c>
    </row>
    <row r="28">
      <c r="A28" s="3" t="inlineStr">
        <is>
          <t>Unused bonding capacity stated in the FY2024 audit</t>
        </is>
      </c>
      <c r="B28" s="8" t="n">
        <v>23500000</v>
      </c>
      <c r="F28" s="2" t="inlineStr">
        <is>
          <t>FY2024 audit note</t>
        </is>
      </c>
    </row>
    <row r="30">
      <c r="A30" s="2" t="inlineStr">
        <is>
          <t>Why closing NMES does not create bonding capacity: capacity is built from the streams above, none of which</t>
        </is>
      </c>
    </row>
    <row r="31">
      <c r="A31" s="2" t="inlineStr">
        <is>
          <t>grows when a school closes. Each student who leaves the district subtracts $100 per year from capital outlay</t>
        </is>
      </c>
    </row>
    <row r="32">
      <c r="A32" s="2" t="inlineStr">
        <is>
          <t>and the SEEK base from operations. Sale proceeds are one-time and restricted to capital use. What a closure</t>
        </is>
      </c>
    </row>
    <row r="33">
      <c r="A33" s="2" t="inlineStr">
        <is>
          <t>changes is the facility plan's priority list, which steers SFCC offers (KRS 157.622) toward other projects.</t>
        </is>
      </c>
    </row>
    <row r="34">
      <c r="A34" s="2" t="inlineStr">
        <is>
          <t>That is a choice about priorities, not a gain in capacity, and it should be argued openly with the BG-1,</t>
        </is>
      </c>
    </row>
    <row r="35">
      <c r="A35" s="2" t="inlineStr">
        <is>
          <t>the official statement, and the bonding potential statement all public.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Reserve Runway: Where the Fund Balance Goes Under Each Path</t>
        </is>
      </c>
    </row>
    <row r="2">
      <c r="A2" s="2" t="inlineStr">
        <is>
          <t>Simplified straight-line projection from the FY2025 ending balance; excludes raises, inflation, and one-time items.</t>
        </is>
      </c>
    </row>
    <row r="4">
      <c r="A4" s="17" t="inlineStr">
        <is>
          <t>Projected ending General Fund balance</t>
        </is>
      </c>
      <c r="B4" s="17" t="inlineStr">
        <is>
          <t>FY2026</t>
        </is>
      </c>
      <c r="C4" s="17" t="inlineStr">
        <is>
          <t>FY2027</t>
        </is>
      </c>
      <c r="D4" s="17" t="inlineStr">
        <is>
          <t>FY2028</t>
        </is>
      </c>
      <c r="E4" s="17" t="inlineStr">
        <is>
          <t>FY2029</t>
        </is>
      </c>
    </row>
    <row r="5">
      <c r="A5" s="3" t="inlineStr">
        <is>
          <t>Status quo (current drawdown continues)</t>
        </is>
      </c>
      <c r="B5" s="9">
        <f>GF_Summary!D9-GF_Summary!$D$16</f>
        <v/>
      </c>
      <c r="C5" s="9">
        <f>B5-GF_Summary!$D$16</f>
        <v/>
      </c>
      <c r="D5" s="9">
        <f>C5-GF_Summary!$D$16</f>
        <v/>
      </c>
      <c r="E5" s="9">
        <f>D5-GF_Summary!$D$16</f>
        <v/>
      </c>
    </row>
    <row r="6">
      <c r="A6" s="3" t="inlineStr">
        <is>
          <t>With alternatives package (conservative midpoint; half effect FY2027, full after)</t>
        </is>
      </c>
      <c r="B6" s="9">
        <f>GF_Summary!D9-GF_Summary!$D$16</f>
        <v/>
      </c>
      <c r="C6" s="9">
        <f>B6-GF_Summary!$D$16+0.5*Alternatives!$B$21</f>
        <v/>
      </c>
      <c r="D6" s="9">
        <f>C6-GF_Summary!$D$16+Alternatives!$B$21</f>
        <v/>
      </c>
      <c r="E6" s="9">
        <f>D6-GF_Summary!$D$16+Alternatives!$B$21</f>
        <v/>
      </c>
    </row>
    <row r="7">
      <c r="A7" s="3" t="inlineStr">
        <is>
          <t>Closure only (base-case net saving from FY2027)</t>
        </is>
      </c>
      <c r="B7" s="9">
        <f>GF_Summary!D9-GF_Summary!$D$16</f>
        <v/>
      </c>
      <c r="C7" s="9">
        <f>B7-GF_Summary!$D$16+Closure_Model!$B$20</f>
        <v/>
      </c>
      <c r="D7" s="9">
        <f>C7-GF_Summary!$D$16+Closure_Model!$B$20</f>
        <v/>
      </c>
      <c r="E7" s="9">
        <f>D7-GF_Summary!$D$16+Closure_Model!$B$20</f>
        <v/>
      </c>
    </row>
    <row r="8">
      <c r="A8" s="3" t="inlineStr">
        <is>
          <t>2% contingency floor (approx., FY2025 basis)</t>
        </is>
      </c>
      <c r="B8" s="18">
        <f>GF_Summary!$D$14</f>
        <v/>
      </c>
      <c r="C8" s="18">
        <f>GF_Summary!$D$14</f>
        <v/>
      </c>
      <c r="D8" s="18">
        <f>GF_Summary!$D$14</f>
        <v/>
      </c>
      <c r="E8" s="18">
        <f>GF_Summary!$D$14</f>
        <v/>
      </c>
    </row>
    <row r="10">
      <c r="A10" s="25" t="inlineStr">
        <is>
          <t>Reading: the alternatives package restores balance faster than closure, keeps every school open, and adds enrollment revenue rather than risking it.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6" customWidth="1" min="5" max="5"/>
    <col width="13" customWidth="1" min="6" max="6"/>
    <col width="48" customWidth="1" min="7" max="7"/>
  </cols>
  <sheetData>
    <row r="1">
      <c r="A1" s="1" t="inlineStr">
        <is>
          <t>Property Tax Rates, Fund Split, Delinquency, and the 4% Option</t>
        </is>
      </c>
    </row>
    <row r="2">
      <c r="A2" s="2" t="inlineStr">
        <is>
          <t>Backs Section 9 and Figure 14 of the report. Rates in cents per $100. DOR rate books primary for 2023-2025; 2018-2022 verified secondary; 2005-2017 not retrieved and not interpolated.</t>
        </is>
      </c>
    </row>
    <row r="4">
      <c r="A4" s="4" t="inlineStr">
        <is>
          <t>BOURBON COUNTY SCHOOLS, REAL ESTATE RATE BY TAX YEAR</t>
        </is>
      </c>
    </row>
    <row r="5">
      <c r="A5" s="3" t="inlineStr">
        <is>
          <t>2018</t>
        </is>
      </c>
      <c r="B5" s="28" t="n">
        <v>61.3</v>
      </c>
      <c r="G5" s="25" t="inlineStr">
        <is>
          <t>2019 documented as the board taking the 4% option (Bourbon County Citizen, 9/4/2019); other years' rate type undetermined pending KDE levy files</t>
        </is>
      </c>
    </row>
    <row r="6">
      <c r="A6" s="3" t="inlineStr">
        <is>
          <t>2019</t>
        </is>
      </c>
      <c r="B6" s="28" t="n">
        <v>60.6</v>
      </c>
    </row>
    <row r="7">
      <c r="A7" s="3" t="inlineStr">
        <is>
          <t>2020</t>
        </is>
      </c>
      <c r="B7" s="28" t="n">
        <v>55.9</v>
      </c>
    </row>
    <row r="8">
      <c r="A8" s="3" t="inlineStr">
        <is>
          <t>2021</t>
        </is>
      </c>
      <c r="B8" s="28" t="n">
        <v>54.2</v>
      </c>
    </row>
    <row r="9">
      <c r="A9" s="3" t="inlineStr">
        <is>
          <t>2022</t>
        </is>
      </c>
      <c r="B9" s="28" t="n">
        <v>49.2</v>
      </c>
    </row>
    <row r="10">
      <c r="A10" s="3" t="inlineStr">
        <is>
          <t>2023</t>
        </is>
      </c>
      <c r="B10" s="28" t="n">
        <v>52.4</v>
      </c>
    </row>
    <row r="11">
      <c r="A11" s="3" t="inlineStr">
        <is>
          <t>2024</t>
        </is>
      </c>
      <c r="B11" s="28" t="n">
        <v>52.4</v>
      </c>
    </row>
    <row r="12">
      <c r="A12" s="3" t="inlineStr">
        <is>
          <t>2025</t>
        </is>
      </c>
      <c r="B12" s="28" t="n">
        <v>52.4</v>
      </c>
    </row>
    <row r="14">
      <c r="A14" s="3" t="inlineStr">
        <is>
          <t>Tangible/personal rate (recent)</t>
        </is>
      </c>
      <c r="B14" s="28" t="n">
        <v>64.5</v>
      </c>
    </row>
    <row r="15">
      <c r="A15" s="3" t="inlineStr">
        <is>
          <t>Motor vehicle rate</t>
        </is>
      </c>
      <c r="B15" s="28" t="n">
        <v>54.7</v>
      </c>
    </row>
    <row r="16">
      <c r="A16" s="3" t="inlineStr">
        <is>
          <t>Utility gross receipts</t>
        </is>
      </c>
      <c r="B16" s="13" t="n">
        <v>0.03</v>
      </c>
    </row>
    <row r="18">
      <c r="A18" s="4" t="inlineStr">
        <is>
          <t>AREA DISTRICTS, LEVIED REAL ESTATE RATE 2024-25</t>
        </is>
      </c>
    </row>
    <row r="19">
      <c r="A19" s="3" t="inlineStr">
        <is>
          <t>Fayette County</t>
        </is>
      </c>
      <c r="B19" s="28" t="n">
        <v>80.90000000000001</v>
      </c>
      <c r="G19" s="25" t="inlineStr">
        <is>
          <t>Fayette and Clark from local reporting of board votes; others from DOR rate books. Bourbon ranks second lowest of the nine. Nicholas shown at its real estate rate of 43.1 (tangible 43.7). Bath 63.4 is the 2025 rate (2024: 60.7).</t>
        </is>
      </c>
    </row>
    <row r="20">
      <c r="A20" s="3" t="inlineStr">
        <is>
          <t>Paris Independent</t>
        </is>
      </c>
      <c r="B20" s="28" t="n">
        <v>71.5</v>
      </c>
    </row>
    <row r="21">
      <c r="A21" s="3" t="inlineStr">
        <is>
          <t>Clark County</t>
        </is>
      </c>
      <c r="B21" s="28" t="n">
        <v>66.8</v>
      </c>
    </row>
    <row r="22">
      <c r="A22" s="3" t="inlineStr">
        <is>
          <t>Bath County</t>
        </is>
      </c>
      <c r="B22" s="28" t="n">
        <v>63.4</v>
      </c>
    </row>
    <row r="23">
      <c r="A23" s="3" t="inlineStr">
        <is>
          <t>Scott County</t>
        </is>
      </c>
      <c r="B23" s="28" t="n">
        <v>62.9</v>
      </c>
    </row>
    <row r="24">
      <c r="A24" s="3" t="inlineStr">
        <is>
          <t>Harrison County</t>
        </is>
      </c>
      <c r="B24" s="28" t="n">
        <v>57.7</v>
      </c>
    </row>
    <row r="25">
      <c r="A25" s="3" t="inlineStr">
        <is>
          <t>Montgomery County</t>
        </is>
      </c>
      <c r="B25" s="28" t="n">
        <v>52.5</v>
      </c>
    </row>
    <row r="26">
      <c r="A26" s="3" t="inlineStr">
        <is>
          <t>Bourbon County</t>
        </is>
      </c>
      <c r="B26" s="28" t="n">
        <v>52.4</v>
      </c>
    </row>
    <row r="27">
      <c r="A27" s="3" t="inlineStr">
        <is>
          <t>Nicholas County</t>
        </is>
      </c>
      <c r="B27" s="28" t="n">
        <v>43.1</v>
      </c>
    </row>
    <row r="28">
      <c r="A28" s="3" t="inlineStr">
        <is>
          <t>Statewide school average (DOR Table II, 2025)</t>
        </is>
      </c>
      <c r="B28" s="28" t="n">
        <v>65.13</v>
      </c>
    </row>
    <row r="31">
      <c r="A31" s="4" t="inlineStr">
        <is>
          <t>FY2025 PROPERTY TAX BY FUND (audited)</t>
        </is>
      </c>
    </row>
    <row r="32">
      <c r="A32" s="3" t="inlineStr">
        <is>
          <t>General Fund</t>
        </is>
      </c>
      <c r="B32" s="8" t="n">
        <v>7829060</v>
      </c>
      <c r="G32" s="25" t="inlineStr">
        <is>
          <t>GF vs building-fund CENT split unverified; dollar split is audited. Cent split is a records request in the report.</t>
        </is>
      </c>
    </row>
    <row r="33">
      <c r="A33" s="3" t="inlineStr">
        <is>
          <t>Building (FSPK) and debt service funds</t>
        </is>
      </c>
      <c r="B33" s="8" t="n">
        <v>2052786</v>
      </c>
    </row>
    <row r="34">
      <c r="A34" s="3" t="inlineStr">
        <is>
          <t>Total property tax, FY2025</t>
        </is>
      </c>
      <c r="B34" s="9">
        <f>B32+B33</f>
        <v/>
      </c>
    </row>
    <row r="35">
      <c r="A35" s="3" t="inlineStr">
        <is>
          <t>General Fund property tax, FY2024</t>
        </is>
      </c>
      <c r="B35" s="8" t="n">
        <v>7150498</v>
      </c>
    </row>
    <row r="36">
      <c r="A36" s="3" t="inlineStr">
        <is>
          <t>General Fund revenue, FY2025</t>
        </is>
      </c>
      <c r="B36" s="8" t="n">
        <v>26449318</v>
      </c>
    </row>
    <row r="37">
      <c r="A37" s="3" t="inlineStr">
        <is>
          <t>General Fund deficit before transfers, FY2025</t>
        </is>
      </c>
      <c r="B37" s="8" t="n">
        <v>2648086</v>
      </c>
    </row>
    <row r="38">
      <c r="A38" s="3" t="inlineStr">
        <is>
          <t>General Fund expenditures, FY2025</t>
        </is>
      </c>
      <c r="B38" s="9">
        <f>B36+B37</f>
        <v/>
      </c>
    </row>
    <row r="39">
      <c r="A39" s="3" t="inlineStr">
        <is>
          <t>Local levy share of General Fund spending</t>
        </is>
      </c>
      <c r="B39" s="19">
        <f>B32/B38</f>
        <v/>
      </c>
    </row>
    <row r="41">
      <c r="A41" s="4" t="inlineStr">
        <is>
          <t>DELINQUENCY CHECK (collections vs certified yield)</t>
        </is>
      </c>
      <c r="B41" s="21" t="inlineStr">
        <is>
          <t>FY2024</t>
        </is>
      </c>
      <c r="C41" s="21" t="inlineStr">
        <is>
          <t>FY2025</t>
        </is>
      </c>
    </row>
    <row r="42">
      <c r="A42" s="3" t="inlineStr">
        <is>
          <t>Calculated yield at levied rates</t>
        </is>
      </c>
      <c r="B42" s="8" t="n">
        <v>10556809</v>
      </c>
      <c r="C42" s="8" t="n">
        <v>9880143</v>
      </c>
    </row>
    <row r="43">
      <c r="A43" s="3" t="inlineStr">
        <is>
          <t>Actual collections</t>
        </is>
      </c>
      <c r="B43" s="8" t="n">
        <v>10168969</v>
      </c>
      <c r="C43" s="8" t="n">
        <v>9641017</v>
      </c>
    </row>
    <row r="44">
      <c r="A44" s="3" t="inlineStr">
        <is>
          <t>Gap (ordinary delinquency)</t>
        </is>
      </c>
      <c r="B44" s="9">
        <f>B42-B43</f>
        <v/>
      </c>
      <c r="C44" s="9">
        <f>C42-C43</f>
        <v/>
      </c>
    </row>
    <row r="45">
      <c r="A45" s="3" t="inlineStr">
        <is>
          <t>Gap as share of yield</t>
        </is>
      </c>
      <c r="B45" s="19">
        <f>B44/B42</f>
        <v/>
      </c>
      <c r="C45" s="19">
        <f>C44/C42</f>
        <v/>
      </c>
    </row>
    <row r="47">
      <c r="A47" s="4" t="inlineStr">
        <is>
          <t>FOUR PERCENT OPTION, THREE-YEAR PATH (KRS 160.470)</t>
        </is>
      </c>
    </row>
    <row r="48">
      <c r="A48" s="3" t="inlineStr">
        <is>
          <t>Base: FY2025 actual real + personal collections</t>
        </is>
      </c>
      <c r="B48" s="18">
        <f>C43</f>
        <v/>
      </c>
      <c r="G48" s="25" t="inlineStr">
        <is>
          <t>Basis: 4% more revenue from EXISTING real + personal property than the compensating rate; new property excluded (upside); motor vehicle separate; recall applies only above 4%.</t>
        </is>
      </c>
    </row>
    <row r="49">
      <c r="A49" s="3" t="inlineStr">
        <is>
          <t>Annual revenue option</t>
        </is>
      </c>
      <c r="B49" s="13" t="n">
        <v>0.04</v>
      </c>
    </row>
    <row r="50">
      <c r="A50" s="3" t="inlineStr">
        <is>
          <t>Year 1 added recurring revenue</t>
        </is>
      </c>
      <c r="B50" s="9">
        <f>B48*B49</f>
        <v/>
      </c>
    </row>
    <row r="51">
      <c r="A51" s="3" t="inlineStr">
        <is>
          <t>Year 2 added recurring revenue</t>
        </is>
      </c>
      <c r="B51" s="9">
        <f>(B48+B50)*B49</f>
        <v/>
      </c>
    </row>
    <row r="52">
      <c r="A52" s="3" t="inlineStr">
        <is>
          <t>Year 3 added recurring revenue</t>
        </is>
      </c>
      <c r="B52" s="9">
        <f>(B48+B50+B51)*B49</f>
        <v/>
      </c>
    </row>
    <row r="53">
      <c r="A53" s="3" t="inlineStr">
        <is>
          <t>Cumulative added annual revenue by Year 3</t>
        </is>
      </c>
      <c r="B53" s="9">
        <f>B50+B51+B52</f>
        <v/>
      </c>
    </row>
    <row r="54">
      <c r="A54" s="3" t="inlineStr">
        <is>
          <t>As a share of the FY2025 structural deficit</t>
        </is>
      </c>
      <c r="B54" s="19">
        <f>B53/(Assumptions!B24-Assumptions!B21)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6" customWidth="1" min="4" max="4"/>
    <col width="8" customWidth="1" min="5" max="5"/>
    <col width="8" customWidth="1" min="6" max="6"/>
    <col width="6" customWidth="1" min="7" max="7"/>
    <col width="8" customWidth="1" min="8" max="8"/>
    <col width="8" customWidth="1" min="9" max="9"/>
    <col width="44" customWidth="1" min="10" max="10"/>
  </cols>
  <sheetData>
    <row r="1">
      <c r="A1" s="1" t="inlineStr">
        <is>
          <t>County Demographics and NMES Long-Run Enrollment</t>
        </is>
      </c>
    </row>
    <row r="2">
      <c r="A2" s="2" t="inlineStr">
        <is>
          <t>An honest picture: the county is flat to declining, so the growth plan relies on redistricting and cross-county enrollment, not a population rebound.</t>
        </is>
      </c>
    </row>
    <row r="4">
      <c r="A4" s="4" t="inlineStr">
        <is>
          <t>BOURBON COUNTY POPULATION (U.S. Census / FRED; KSDC projection)</t>
        </is>
      </c>
    </row>
    <row r="5">
      <c r="A5" s="3" t="inlineStr">
        <is>
          <t>1970</t>
        </is>
      </c>
      <c r="B5" s="10" t="n">
        <v>18476</v>
      </c>
      <c r="J5" s="25" t="inlineStr">
        <is>
          <t>Sources: FRED series KYBOUR7POP; Envision 2040 plan citing the Kentucky State Data Center</t>
        </is>
      </c>
    </row>
    <row r="6">
      <c r="A6" s="3" t="inlineStr">
        <is>
          <t>1980</t>
        </is>
      </c>
      <c r="B6" s="10" t="n">
        <v>19405</v>
      </c>
    </row>
    <row r="7">
      <c r="A7" s="3" t="inlineStr">
        <is>
          <t>1990</t>
        </is>
      </c>
      <c r="B7" s="10" t="n">
        <v>19247</v>
      </c>
    </row>
    <row r="8">
      <c r="A8" s="3" t="inlineStr">
        <is>
          <t>2000</t>
        </is>
      </c>
      <c r="B8" s="10" t="n">
        <v>19352</v>
      </c>
    </row>
    <row r="9">
      <c r="A9" s="3" t="inlineStr">
        <is>
          <t>2010</t>
        </is>
      </c>
      <c r="B9" s="10" t="n">
        <v>19985</v>
      </c>
    </row>
    <row r="10">
      <c r="A10" s="3" t="inlineStr">
        <is>
          <t>2020</t>
        </is>
      </c>
      <c r="B10" s="10" t="n">
        <v>20252</v>
      </c>
    </row>
    <row r="11">
      <c r="A11" s="3" t="inlineStr">
        <is>
          <t>2024 est.</t>
        </is>
      </c>
      <c r="B11" s="10" t="n">
        <v>20337</v>
      </c>
    </row>
    <row r="12">
      <c r="A12" s="3" t="inlineStr">
        <is>
          <t>2040 projection (KSDC)</t>
        </is>
      </c>
      <c r="B12" s="10" t="n">
        <v>19352</v>
      </c>
    </row>
    <row r="13">
      <c r="A13" s="3" t="inlineStr">
        <is>
          <t>Change, 1970 to 2020</t>
        </is>
      </c>
      <c r="B13" s="11">
        <f>B10-B5</f>
        <v/>
      </c>
    </row>
    <row r="14">
      <c r="A14" s="3" t="inlineStr">
        <is>
          <t>Change as a share of 1970</t>
        </is>
      </c>
      <c r="B14" s="19">
        <f>B13/B5</f>
        <v/>
      </c>
    </row>
    <row r="16">
      <c r="A16" s="4" t="inlineStr">
        <is>
          <t>ADJACENT COUNTIES: 2020 CENSUS AND OUTLOOK</t>
        </is>
      </c>
    </row>
    <row r="17">
      <c r="A17" s="3" t="inlineStr">
        <is>
          <t>Scott (Georgetown)</t>
        </is>
      </c>
      <c r="B17" s="10" t="n">
        <v>57155</v>
      </c>
      <c r="C17" s="2" t="inlineStr">
        <is>
          <t>+46.1% projected to 2050</t>
        </is>
      </c>
    </row>
    <row r="18">
      <c r="A18" s="3" t="inlineStr">
        <is>
          <t>Fayette (Lexington)</t>
        </is>
      </c>
      <c r="B18" s="10" t="n">
        <v>322570</v>
      </c>
      <c r="C18" s="2" t="inlineStr">
        <is>
          <t>+9.8% projected to 2050</t>
        </is>
      </c>
    </row>
    <row r="19">
      <c r="A19" s="3" t="inlineStr">
        <is>
          <t>Clark (Winchester)</t>
        </is>
      </c>
      <c r="B19" s="10" t="n">
        <v>36972</v>
      </c>
      <c r="C19" s="2" t="inlineStr">
        <is>
          <t>Slow growth</t>
        </is>
      </c>
    </row>
    <row r="20">
      <c r="A20" s="3" t="inlineStr">
        <is>
          <t>Montgomery (Mt. Sterling)</t>
        </is>
      </c>
      <c r="B20" s="10" t="n">
        <v>28000</v>
      </c>
      <c r="C20" s="2" t="inlineStr">
        <is>
          <t>Slow growth</t>
        </is>
      </c>
    </row>
    <row r="21">
      <c r="A21" s="3" t="inlineStr">
        <is>
          <t>Harrison (Cynthiana)</t>
        </is>
      </c>
      <c r="B21" s="10" t="n">
        <v>18692</v>
      </c>
      <c r="C21" s="2" t="inlineStr">
        <is>
          <t>Roughly flat</t>
        </is>
      </c>
    </row>
    <row r="22">
      <c r="A22" s="3" t="inlineStr">
        <is>
          <t>Bath</t>
        </is>
      </c>
      <c r="B22" s="10" t="n">
        <v>12500</v>
      </c>
      <c r="C22" s="2" t="inlineStr">
        <is>
          <t>Flat to declining</t>
        </is>
      </c>
    </row>
    <row r="23">
      <c r="A23" s="3" t="inlineStr">
        <is>
          <t>Nicholas (Carlisle)</t>
        </is>
      </c>
      <c r="B23" s="10" t="n">
        <v>7537</v>
      </c>
      <c r="C23" s="2" t="inlineStr">
        <is>
          <t>Flat to declining</t>
        </is>
      </c>
    </row>
    <row r="24">
      <c r="A24" s="3" t="inlineStr">
        <is>
          <t>Bourbon</t>
        </is>
      </c>
      <c r="B24" s="10" t="n">
        <v>20252</v>
      </c>
      <c r="C24" s="2" t="inlineStr">
        <is>
          <t>About -4% by 2040 (KSDC)</t>
        </is>
      </c>
    </row>
    <row r="26">
      <c r="A26" s="4" t="inlineStr">
        <is>
          <t>NORTH MIDDLETOWN CITY POPULATION</t>
        </is>
      </c>
    </row>
    <row r="27">
      <c r="A27" s="3" t="inlineStr">
        <is>
          <t>2000</t>
        </is>
      </c>
      <c r="B27" s="10" t="n">
        <v>562</v>
      </c>
    </row>
    <row r="28">
      <c r="A28" s="3" t="inlineStr">
        <is>
          <t>2010 (approx.)</t>
        </is>
      </c>
      <c r="B28" s="10" t="n">
        <v>521</v>
      </c>
    </row>
    <row r="29">
      <c r="A29" s="3" t="inlineStr">
        <is>
          <t>2020</t>
        </is>
      </c>
      <c r="B29" s="10" t="n">
        <v>610</v>
      </c>
    </row>
    <row r="30">
      <c r="A30" s="3" t="inlineStr">
        <is>
          <t>2024 est.</t>
        </is>
      </c>
      <c r="B30" s="10" t="n">
        <v>679</v>
      </c>
    </row>
    <row r="32">
      <c r="A32" s="4" t="inlineStr">
        <is>
          <t>NMES ENROLLMENT, 1989-2025 (spring of school year; backs Figure 11)</t>
        </is>
      </c>
    </row>
    <row r="33">
      <c r="A33" s="3" t="inlineStr">
        <is>
          <t>Peak enrollment (1988-89)</t>
        </is>
      </c>
      <c r="B33" s="11">
        <f>MAX(F33:F51,I33:I50)</f>
        <v/>
      </c>
      <c r="E33" s="21" t="inlineStr">
        <is>
          <t>1989</t>
        </is>
      </c>
      <c r="F33" s="10" t="n">
        <v>261</v>
      </c>
      <c r="H33" s="21" t="inlineStr">
        <is>
          <t>2008</t>
        </is>
      </c>
      <c r="I33" s="10" t="n">
        <v>224</v>
      </c>
      <c r="J33" s="25" t="inlineStr">
        <is>
          <t>1989-2014 compiled by PublicSchoolReview from federal data; 2015-2025 match NCES directly</t>
        </is>
      </c>
    </row>
    <row r="34">
      <c r="A34" s="3" t="inlineStr">
        <is>
          <t>Latest official count (2024-25)</t>
        </is>
      </c>
      <c r="B34" s="11">
        <f>I50</f>
        <v/>
      </c>
      <c r="E34" s="21" t="inlineStr">
        <is>
          <t>1990</t>
        </is>
      </c>
      <c r="F34" s="10" t="n">
        <v>255</v>
      </c>
      <c r="H34" s="21" t="inlineStr">
        <is>
          <t>2009</t>
        </is>
      </c>
      <c r="I34" s="10" t="n">
        <v>217</v>
      </c>
    </row>
    <row r="35">
      <c r="A35" s="3" t="inlineStr">
        <is>
          <t>Decline from peak</t>
        </is>
      </c>
      <c r="B35" s="11">
        <f>B33-B34</f>
        <v/>
      </c>
      <c r="E35" s="21" t="inlineStr">
        <is>
          <t>1991</t>
        </is>
      </c>
      <c r="F35" s="10" t="n">
        <v>234</v>
      </c>
      <c r="H35" s="21" t="inlineStr">
        <is>
          <t>2010</t>
        </is>
      </c>
      <c r="I35" s="10" t="n">
        <v>177</v>
      </c>
    </row>
    <row r="36">
      <c r="A36" s="3" t="inlineStr">
        <is>
          <t>Decline as a share of peak</t>
        </is>
      </c>
      <c r="B36" s="19">
        <f>B35/B33</f>
        <v/>
      </c>
      <c r="E36" s="21" t="inlineStr">
        <is>
          <t>1992</t>
        </is>
      </c>
      <c r="F36" s="10" t="n">
        <v>225</v>
      </c>
      <c r="H36" s="21" t="inlineStr">
        <is>
          <t>2011</t>
        </is>
      </c>
      <c r="I36" s="10" t="n">
        <v>165</v>
      </c>
    </row>
    <row r="37">
      <c r="A37" s="3" t="inlineStr">
        <is>
          <t>Current rated capacity</t>
        </is>
      </c>
      <c r="B37" s="24">
        <f>Assumptions!B12</f>
        <v/>
      </c>
      <c r="E37" s="21" t="inlineStr">
        <is>
          <t>1993</t>
        </is>
      </c>
      <c r="F37" s="10" t="n">
        <v>202</v>
      </c>
      <c r="H37" s="21" t="inlineStr">
        <is>
          <t>2012</t>
        </is>
      </c>
      <c r="I37" s="10" t="n">
        <v>167</v>
      </c>
    </row>
    <row r="38">
      <c r="E38" s="21" t="inlineStr">
        <is>
          <t>1994</t>
        </is>
      </c>
      <c r="F38" s="10" t="n">
        <v>203</v>
      </c>
      <c r="H38" s="21" t="inlineStr">
        <is>
          <t>2013</t>
        </is>
      </c>
      <c r="I38" s="10" t="n">
        <v>154</v>
      </c>
    </row>
    <row r="39">
      <c r="E39" s="21" t="inlineStr">
        <is>
          <t>1995</t>
        </is>
      </c>
      <c r="F39" s="10" t="n">
        <v>182</v>
      </c>
      <c r="H39" s="21" t="inlineStr">
        <is>
          <t>2014</t>
        </is>
      </c>
      <c r="I39" s="10" t="n">
        <v>154</v>
      </c>
    </row>
    <row r="40">
      <c r="E40" s="21" t="inlineStr">
        <is>
          <t>1996</t>
        </is>
      </c>
      <c r="F40" s="10" t="n">
        <v>196</v>
      </c>
      <c r="H40" s="21" t="inlineStr">
        <is>
          <t>2015</t>
        </is>
      </c>
      <c r="I40" s="10" t="n">
        <v>155</v>
      </c>
    </row>
    <row r="41">
      <c r="E41" s="21" t="inlineStr">
        <is>
          <t>1997</t>
        </is>
      </c>
      <c r="F41" s="10" t="n">
        <v>208</v>
      </c>
      <c r="H41" s="21" t="inlineStr">
        <is>
          <t>2016</t>
        </is>
      </c>
      <c r="I41" s="10" t="n">
        <v>154</v>
      </c>
    </row>
    <row r="42">
      <c r="E42" s="21" t="inlineStr">
        <is>
          <t>1998</t>
        </is>
      </c>
      <c r="F42" s="10" t="n">
        <v>198</v>
      </c>
      <c r="H42" s="21" t="inlineStr">
        <is>
          <t>2017</t>
        </is>
      </c>
      <c r="I42" s="10" t="n">
        <v>131</v>
      </c>
    </row>
    <row r="43">
      <c r="E43" s="21" t="inlineStr">
        <is>
          <t>1999</t>
        </is>
      </c>
      <c r="F43" s="10" t="n">
        <v>205</v>
      </c>
      <c r="H43" s="21" t="inlineStr">
        <is>
          <t>2018</t>
        </is>
      </c>
      <c r="I43" s="10" t="n">
        <v>131</v>
      </c>
    </row>
    <row r="44">
      <c r="E44" s="21" t="inlineStr">
        <is>
          <t>2000</t>
        </is>
      </c>
      <c r="F44" s="10" t="n">
        <v>195</v>
      </c>
      <c r="H44" s="21" t="inlineStr">
        <is>
          <t>2019</t>
        </is>
      </c>
      <c r="I44" s="10" t="n">
        <v>160</v>
      </c>
    </row>
    <row r="45">
      <c r="E45" s="21" t="inlineStr">
        <is>
          <t>2001</t>
        </is>
      </c>
      <c r="F45" s="10" t="n">
        <v>195</v>
      </c>
      <c r="H45" s="21" t="inlineStr">
        <is>
          <t>2020</t>
        </is>
      </c>
      <c r="I45" s="10" t="n">
        <v>160</v>
      </c>
    </row>
    <row r="46">
      <c r="E46" s="21" t="inlineStr">
        <is>
          <t>2002</t>
        </is>
      </c>
      <c r="F46" s="10" t="n">
        <v>203</v>
      </c>
      <c r="H46" s="21" t="inlineStr">
        <is>
          <t>2021</t>
        </is>
      </c>
      <c r="I46" s="10" t="n">
        <v>148</v>
      </c>
    </row>
    <row r="47">
      <c r="E47" s="21" t="inlineStr">
        <is>
          <t>2003</t>
        </is>
      </c>
      <c r="F47" s="10" t="n">
        <v>196</v>
      </c>
      <c r="H47" s="21" t="inlineStr">
        <is>
          <t>2022</t>
        </is>
      </c>
      <c r="I47" s="10" t="n">
        <v>153</v>
      </c>
    </row>
    <row r="48">
      <c r="E48" s="21" t="inlineStr">
        <is>
          <t>2004</t>
        </is>
      </c>
      <c r="F48" s="10" t="n">
        <v>206</v>
      </c>
      <c r="H48" s="21" t="inlineStr">
        <is>
          <t>2023</t>
        </is>
      </c>
      <c r="I48" s="10" t="n">
        <v>145</v>
      </c>
    </row>
    <row r="49">
      <c r="E49" s="21" t="inlineStr">
        <is>
          <t>2005</t>
        </is>
      </c>
      <c r="F49" s="10" t="n">
        <v>204</v>
      </c>
      <c r="H49" s="21" t="inlineStr">
        <is>
          <t>2024</t>
        </is>
      </c>
      <c r="I49" s="10" t="n">
        <v>135</v>
      </c>
    </row>
    <row r="50">
      <c r="E50" s="21" t="inlineStr">
        <is>
          <t>2006</t>
        </is>
      </c>
      <c r="F50" s="10" t="n">
        <v>199</v>
      </c>
      <c r="H50" s="21" t="inlineStr">
        <is>
          <t>2025</t>
        </is>
      </c>
      <c r="I50" s="10" t="n">
        <v>128</v>
      </c>
    </row>
    <row r="51">
      <c r="E51" s="21" t="inlineStr">
        <is>
          <t>2007</t>
        </is>
      </c>
      <c r="F51" s="10" t="n">
        <v>211</v>
      </c>
    </row>
    <row r="54">
      <c r="A54" s="4" t="inlineStr">
        <is>
          <t>HONEST BOTTOM LINE</t>
        </is>
      </c>
    </row>
    <row r="55">
      <c r="A55" s="25" t="inlineStr">
        <is>
          <t>Bourbon County faces a real demographic headwind: flat for fifty years, aging, land-constrained, projected down about 4% by 2040, and outside the Scott and Fayette growth corridor. Organic enrollment growth at NMES is unlikely. The growth case therefore rests on redistricting within the district and cross-county enrollment on quality under House Bill 563, plus the school's academic record and community-anchor value.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44" customWidth="1" min="20" max="20"/>
  </cols>
  <sheetData>
    <row r="1">
      <c r="A1" s="1" t="inlineStr">
        <is>
          <t>School Data Backing the Report Figures</t>
        </is>
      </c>
    </row>
    <row r="2">
      <c r="A2" s="2" t="inlineStr">
        <is>
          <t>Inputs (blue) transcribed from public sources. Scores are SchoolDigger's normalized 0-100 'Average Standard Score' from KDE test data - not KDE's official rating. Confirm vs KDE Open House datasets before formal submission.</t>
        </is>
      </c>
    </row>
    <row r="4">
      <c r="A4" s="4" t="inlineStr">
        <is>
          <t>NMES ENROLLMENT BY SCHOOL YEAR (backs Figure 11)</t>
        </is>
      </c>
    </row>
    <row r="5">
      <c r="A5" s="21" t="inlineStr">
        <is>
          <t>School year</t>
        </is>
      </c>
      <c r="B5" s="21" t="inlineStr">
        <is>
          <t>'15-16</t>
        </is>
      </c>
      <c r="C5" s="21" t="inlineStr">
        <is>
          <t>'16-17</t>
        </is>
      </c>
      <c r="D5" s="21" t="inlineStr">
        <is>
          <t>'17-18</t>
        </is>
      </c>
      <c r="E5" s="21" t="inlineStr">
        <is>
          <t>'18-19</t>
        </is>
      </c>
      <c r="F5" s="21" t="inlineStr">
        <is>
          <t>'19-20</t>
        </is>
      </c>
      <c r="G5" s="21" t="inlineStr">
        <is>
          <t>'20-21</t>
        </is>
      </c>
      <c r="H5" s="21" t="inlineStr">
        <is>
          <t>'21-22</t>
        </is>
      </c>
      <c r="I5" s="21" t="inlineStr">
        <is>
          <t>'22-23</t>
        </is>
      </c>
      <c r="J5" s="21" t="inlineStr">
        <is>
          <t>'23-24</t>
        </is>
      </c>
      <c r="K5" s="21" t="inlineStr">
        <is>
          <t>'24-25</t>
        </is>
      </c>
    </row>
    <row r="6">
      <c r="A6" s="3" t="inlineStr">
        <is>
          <t>Students</t>
        </is>
      </c>
      <c r="B6" s="10" t="n">
        <v>154</v>
      </c>
      <c r="C6" s="10" t="n">
        <v>131</v>
      </c>
      <c r="D6" s="10" t="n">
        <v>131</v>
      </c>
      <c r="E6" s="10" t="n">
        <v>160</v>
      </c>
      <c r="F6" s="10" t="n">
        <v>160</v>
      </c>
      <c r="G6" s="10" t="n">
        <v>148</v>
      </c>
      <c r="H6" s="10" t="n">
        <v>153</v>
      </c>
      <c r="I6" s="10" t="n">
        <v>145</v>
      </c>
      <c r="J6" s="10" t="n">
        <v>135</v>
      </c>
      <c r="K6" s="10" t="n">
        <v>128</v>
      </c>
      <c r="T6" s="25" t="inlineStr">
        <is>
          <t>NCES school-level data (as compiled by PublicSchoolReview); 2024-25 = NCES CCD official count</t>
        </is>
      </c>
    </row>
    <row r="8">
      <c r="A8" s="3" t="inlineStr">
        <is>
          <t>Rated capacity (2021 facility plan)</t>
        </is>
      </c>
      <c r="B8" s="10" t="n">
        <v>174</v>
      </c>
    </row>
    <row r="9">
      <c r="A9" s="3" t="inlineStr">
        <is>
          <t>Open seats, 2024-25</t>
        </is>
      </c>
      <c r="B9" s="11">
        <f>B8-K6</f>
        <v/>
      </c>
    </row>
    <row r="11">
      <c r="A11" s="2" t="inlineStr">
        <is>
          <t>Note: the superintendent has publicly said 'around 100'; a '118' figure could not be verified in any official record.</t>
        </is>
      </c>
    </row>
    <row r="13">
      <c r="A13" s="4" t="inlineStr">
        <is>
          <t>ELEMENTARY SCORES BY YEAR, 2007-2025 (backs Figures 6 and 7)</t>
        </is>
      </c>
    </row>
    <row r="14">
      <c r="A14" s="21" t="inlineStr">
        <is>
          <t>School (district)</t>
        </is>
      </c>
      <c r="B14" s="21" t="inlineStr">
        <is>
          <t>2007</t>
        </is>
      </c>
      <c r="C14" s="21" t="inlineStr">
        <is>
          <t>2008</t>
        </is>
      </c>
      <c r="D14" s="21" t="inlineStr">
        <is>
          <t>2009</t>
        </is>
      </c>
      <c r="E14" s="21" t="inlineStr">
        <is>
          <t>2010</t>
        </is>
      </c>
      <c r="F14" s="21" t="inlineStr">
        <is>
          <t>2011</t>
        </is>
      </c>
      <c r="G14" s="21" t="inlineStr">
        <is>
          <t>2012</t>
        </is>
      </c>
      <c r="H14" s="21" t="inlineStr">
        <is>
          <t>2013</t>
        </is>
      </c>
      <c r="I14" s="21" t="inlineStr">
        <is>
          <t>2014</t>
        </is>
      </c>
      <c r="J14" s="21" t="inlineStr">
        <is>
          <t>2015</t>
        </is>
      </c>
      <c r="K14" s="21" t="inlineStr">
        <is>
          <t>2016</t>
        </is>
      </c>
      <c r="L14" s="21" t="inlineStr">
        <is>
          <t>2017</t>
        </is>
      </c>
      <c r="M14" s="21" t="inlineStr">
        <is>
          <t>2018</t>
        </is>
      </c>
      <c r="N14" s="21" t="inlineStr">
        <is>
          <t>2019</t>
        </is>
      </c>
      <c r="O14" s="21" t="inlineStr">
        <is>
          <t>2021</t>
        </is>
      </c>
      <c r="P14" s="21" t="inlineStr">
        <is>
          <t>2022</t>
        </is>
      </c>
      <c r="Q14" s="21" t="inlineStr">
        <is>
          <t>2023</t>
        </is>
      </c>
      <c r="R14" s="21" t="inlineStr">
        <is>
          <t>2024</t>
        </is>
      </c>
      <c r="S14" s="21" t="inlineStr">
        <is>
          <t>2025</t>
        </is>
      </c>
      <c r="T14" s="25" t="inlineStr">
        <is>
          <t>SchoolDigger rendering of KDE test data. No statewide tests in 2020; NMES 2021 not reported. Assessment systems: CATS/KCCT 2007-11, K-PREP 2012-19, KSA 2021-25.</t>
        </is>
      </c>
    </row>
    <row r="15">
      <c r="A15" s="3" t="inlineStr">
        <is>
          <t>North Middletown (Bourbon Co.)</t>
        </is>
      </c>
      <c r="B15" s="28" t="n">
        <v>56.5</v>
      </c>
      <c r="C15" s="28" t="n">
        <v>63.9</v>
      </c>
      <c r="D15" s="28" t="n">
        <v>68.59999999999999</v>
      </c>
      <c r="E15" s="28" t="n">
        <v>87.90000000000001</v>
      </c>
      <c r="F15" s="28" t="n">
        <v>85.8</v>
      </c>
      <c r="G15" s="28" t="n">
        <v>72.5</v>
      </c>
      <c r="H15" s="28" t="n">
        <v>67.59999999999999</v>
      </c>
      <c r="I15" s="28" t="n">
        <v>56.6</v>
      </c>
      <c r="J15" s="28" t="n">
        <v>56.9</v>
      </c>
      <c r="K15" s="28" t="n">
        <v>48.7</v>
      </c>
      <c r="L15" s="28" t="n">
        <v>49.3</v>
      </c>
      <c r="M15" s="28" t="n">
        <v>40</v>
      </c>
      <c r="N15" s="28" t="n">
        <v>50.4</v>
      </c>
      <c r="P15" s="28" t="n">
        <v>47.7</v>
      </c>
      <c r="Q15" s="28" t="n">
        <v>32.1</v>
      </c>
      <c r="R15" s="28" t="n">
        <v>54.1</v>
      </c>
      <c r="S15" s="28" t="n">
        <v>58.2</v>
      </c>
    </row>
    <row r="16">
      <c r="A16" s="3" t="inlineStr">
        <is>
          <t>Bourbon Central (Bourbon Co.)</t>
        </is>
      </c>
      <c r="B16" s="28" t="n">
        <v>77.5</v>
      </c>
      <c r="C16" s="28" t="n">
        <v>81.90000000000001</v>
      </c>
      <c r="D16" s="28" t="n">
        <v>72.59999999999999</v>
      </c>
      <c r="E16" s="28" t="n">
        <v>69.59999999999999</v>
      </c>
      <c r="F16" s="28" t="n">
        <v>63</v>
      </c>
      <c r="G16" s="28" t="n">
        <v>74.7</v>
      </c>
      <c r="H16" s="28" t="n">
        <v>67.59999999999999</v>
      </c>
      <c r="I16" s="28" t="n">
        <v>51.8</v>
      </c>
      <c r="J16" s="28" t="n">
        <v>52.1</v>
      </c>
      <c r="K16" s="28" t="n">
        <v>30</v>
      </c>
      <c r="L16" s="28" t="n">
        <v>34</v>
      </c>
      <c r="M16" s="28" t="n">
        <v>32.8</v>
      </c>
      <c r="N16" s="28" t="n">
        <v>39.9</v>
      </c>
      <c r="O16" s="28" t="n">
        <v>20</v>
      </c>
      <c r="P16" s="28" t="n">
        <v>29.9</v>
      </c>
      <c r="Q16" s="28" t="n">
        <v>29</v>
      </c>
      <c r="R16" s="28" t="n">
        <v>23.8</v>
      </c>
      <c r="S16" s="28" t="n">
        <v>26.5</v>
      </c>
    </row>
    <row r="17">
      <c r="A17" s="3" t="inlineStr">
        <is>
          <t>Cane Ridge (Bourbon Co.)</t>
        </is>
      </c>
      <c r="B17" s="28" t="n">
        <v>35.2</v>
      </c>
      <c r="C17" s="28" t="n">
        <v>50.9</v>
      </c>
      <c r="D17" s="28" t="n">
        <v>56.2</v>
      </c>
      <c r="E17" s="28" t="n">
        <v>65.5</v>
      </c>
      <c r="F17" s="28" t="n">
        <v>34.5</v>
      </c>
      <c r="G17" s="28" t="n">
        <v>34</v>
      </c>
      <c r="H17" s="28" t="n">
        <v>49.6</v>
      </c>
      <c r="I17" s="28" t="n">
        <v>51</v>
      </c>
      <c r="J17" s="28" t="n">
        <v>51.1</v>
      </c>
      <c r="K17" s="28" t="n">
        <v>57.5</v>
      </c>
      <c r="L17" s="28" t="n">
        <v>50.4</v>
      </c>
      <c r="M17" s="28" t="n">
        <v>41.4</v>
      </c>
      <c r="N17" s="28" t="n">
        <v>38.8</v>
      </c>
      <c r="O17" s="28" t="n">
        <v>23.8</v>
      </c>
      <c r="P17" s="28" t="n">
        <v>38.7</v>
      </c>
      <c r="Q17" s="28" t="n">
        <v>34.6</v>
      </c>
      <c r="R17" s="28" t="n">
        <v>35.8</v>
      </c>
      <c r="S17" s="28" t="n">
        <v>19.3</v>
      </c>
    </row>
    <row r="18">
      <c r="A18" s="3" t="inlineStr">
        <is>
          <t>Paris Elementary (Paris Indep.)</t>
        </is>
      </c>
      <c r="R18" s="28" t="n">
        <v>16.8</v>
      </c>
      <c r="S18" s="28" t="n">
        <v>12.2</v>
      </c>
    </row>
    <row r="19">
      <c r="A19" s="3" t="inlineStr">
        <is>
          <t>Shearer (Clark Co.)</t>
        </is>
      </c>
      <c r="R19" s="28" t="n">
        <v>30.7</v>
      </c>
      <c r="S19" s="28" t="n">
        <v>42.3</v>
      </c>
    </row>
    <row r="20">
      <c r="A20" s="3" t="inlineStr">
        <is>
          <t>Justice (Clark Co.)</t>
        </is>
      </c>
      <c r="R20" s="28" t="n">
        <v>43.2</v>
      </c>
      <c r="S20" s="28" t="n">
        <v>39.3</v>
      </c>
    </row>
    <row r="21">
      <c r="A21" s="3" t="inlineStr">
        <is>
          <t>Strode Station (Clark Co.)</t>
        </is>
      </c>
      <c r="R21" s="28" t="n">
        <v>43.2</v>
      </c>
      <c r="S21" s="28" t="n">
        <v>34.2</v>
      </c>
    </row>
    <row r="22">
      <c r="A22" s="3" t="inlineStr">
        <is>
          <t>Conkwright (Clark Co.)</t>
        </is>
      </c>
      <c r="R22" s="28" t="n">
        <v>15.6</v>
      </c>
      <c r="S22" s="28" t="n">
        <v>17.5</v>
      </c>
    </row>
    <row r="23">
      <c r="A23" s="3" t="inlineStr">
        <is>
          <t>Northview (Montgomery Co.)</t>
        </is>
      </c>
      <c r="R23" s="28" t="n">
        <v>67.40000000000001</v>
      </c>
      <c r="S23" s="28" t="n">
        <v>68.90000000000001</v>
      </c>
    </row>
    <row r="24">
      <c r="A24" s="3" t="inlineStr">
        <is>
          <t>Mapleton (Montgomery Co.)</t>
        </is>
      </c>
      <c r="R24" s="28" t="n">
        <v>65.90000000000001</v>
      </c>
      <c r="S24" s="28" t="n">
        <v>65.09999999999999</v>
      </c>
    </row>
    <row r="25">
      <c r="A25" s="3" t="inlineStr">
        <is>
          <t>Nicholas County Elementary (Nicholas Co.)</t>
        </is>
      </c>
      <c r="R25" s="28" t="n">
        <v>15.9</v>
      </c>
      <c r="T25" s="2" t="inlineStr">
        <is>
          <t>Nicholas County: 2024 value; 2025 not retrieved</t>
        </is>
      </c>
    </row>
    <row r="26">
      <c r="A26" s="3" t="inlineStr">
        <is>
          <t>Three-year average, 2023-2025: NMES / Bourbon Central / Cane Ridge</t>
        </is>
      </c>
      <c r="B26" s="20">
        <f>AVERAGE(Q15:S15)</f>
        <v/>
      </c>
      <c r="C26" s="20">
        <f>AVERAGE(Q16:S16)</f>
        <v/>
      </c>
      <c r="D26" s="20">
        <f>AVERAGE(Q17:S17)</f>
        <v/>
      </c>
    </row>
    <row r="28">
      <c r="A28" s="4" t="inlineStr">
        <is>
          <t>NMES DETAIL, 2024-25 (backs Section 5)</t>
        </is>
      </c>
    </row>
    <row r="29">
      <c r="B29" s="21" t="inlineStr">
        <is>
          <t>NMES</t>
        </is>
      </c>
      <c r="C29" s="21" t="inlineStr">
        <is>
          <t>Kentucky</t>
        </is>
      </c>
    </row>
    <row r="30">
      <c r="A30" s="3" t="inlineStr">
        <is>
          <t>Reading, proficient or better</t>
        </is>
      </c>
      <c r="B30" s="13" t="n">
        <v>0.5</v>
      </c>
      <c r="C30" s="13" t="n">
        <v>0.5</v>
      </c>
      <c r="T30" s="25" t="inlineStr">
        <is>
          <t>SchoolDigger/KDE; economically disadvantaged composite = 62nd percentile statewide; female = 91st</t>
        </is>
      </c>
    </row>
    <row r="31">
      <c r="A31" s="3" t="inlineStr">
        <is>
          <t>Mathematics, proficient or better</t>
        </is>
      </c>
      <c r="B31" s="13" t="n">
        <v>0.44</v>
      </c>
      <c r="C31" s="13" t="n">
        <v>0.44</v>
      </c>
    </row>
    <row r="32">
      <c r="A32" s="3" t="inlineStr">
        <is>
          <t>Writing, proficient or better</t>
        </is>
      </c>
      <c r="B32" s="13" t="n">
        <v>0.58</v>
      </c>
      <c r="C32" s="13" t="n">
        <v>0.38</v>
      </c>
    </row>
    <row r="33">
      <c r="A33" s="3" t="inlineStr">
        <is>
          <t>Science, proficient or better</t>
        </is>
      </c>
      <c r="B33" s="13" t="n">
        <v>0.53</v>
      </c>
      <c r="C33" s="13" t="n">
        <v>0.37</v>
      </c>
    </row>
    <row r="34">
      <c r="A34" s="3" t="inlineStr">
        <is>
          <t>Composite: economically disadvantaged students</t>
        </is>
      </c>
      <c r="B34" s="28" t="n">
        <v>57.1</v>
      </c>
    </row>
    <row r="35">
      <c r="A35" s="3" t="inlineStr">
        <is>
          <t>Composite: female students</t>
        </is>
      </c>
      <c r="B35" s="28" t="n">
        <v>85.7</v>
      </c>
    </row>
    <row r="36">
      <c r="A36" s="3" t="inlineStr">
        <is>
          <t>Composite: male students</t>
        </is>
      </c>
      <c r="B36" s="28" t="n">
        <v>28.8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2026-07-19T21:05:10Z</dcterms:created>
  <dcterms:modified xsi:type="dcterms:W3CDTF">2026-07-19T21:05:10Z</dcterms:modified>
</cp:coreProperties>
</file>