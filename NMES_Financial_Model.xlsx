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B17+C17+Closure_Model!C40+3*54479.4-63000-140*(Assumptions!B6+500-Assumptions!B62)</f>
        <v/>
      </c>
      <c r="F34" s="21">
        <f> $127,039 kept, plus half the fixed overhead positions ($107,052, Closure_Model C40) and three teachers at $54,479.40, minus $63,000 of busing, minus the statistical median of 140 missing students at $5,136 less the $400 supplies credit: the published -$328,511, the 79th percentile of the 972-scenario grid; the weighted median is a $447,573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$447,573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114/140/167)</t>
        </is>
      </c>
      <c r="B43" s="8" t="n">
        <v>114</v>
      </c>
      <c r="C43" s="8" t="n">
        <v>140</v>
      </c>
      <c r="D43" s="8" t="n">
        <v>167</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7">
      <c r="A47" s="3" t="inlineStr">
        <is>
          <t>Central case: net yearly effect</t>
        </is>
      </c>
      <c r="B47" s="19">
        <f>C39+C40+C41*54479.4-C42-C43*(Assumptions!B6+C44-Assumptions!B62)</f>
        <v/>
      </c>
      <c r="C47" s="2" t="inlineStr">
        <is>
          <t>-$429,750: the central case itself loses money, about 16 percent of the structural deficit added, not removed</t>
        </is>
      </c>
    </row>
    <row r="48">
      <c r="A48" s="3" t="inlineStr">
        <is>
          <t>Unfavorable tail (all levers adverse)</t>
        </is>
      </c>
      <c r="B48" s="9">
        <f>B39+B40+B41*54479.4-D42-D43*(Assumptions!B6+D44-Assumptions!B62)</f>
        <v/>
      </c>
      <c r="C48" s="2" t="inlineStr">
        <is>
          <t>-$915,893 a year: the closure loses money</t>
        </is>
      </c>
    </row>
    <row r="49">
      <c r="A49" s="3" t="inlineStr">
        <is>
          <t>Favorable tail (all levers favorable)</t>
        </is>
      </c>
      <c r="B49" s="9">
        <f>D39+D40+D41*54479.4-B42-B43*(Assumptions!B6+B44-Assumptions!B62)</f>
        <v/>
      </c>
      <c r="C49" s="2" t="inlineStr">
        <is>
          <t>+$1,678 a year: the grid's single positive cell (every lever at its closure-friendliest at once: full capture, every fixed position cut, three teachers, only 114 leavers with zero add-ons, minimal busing), about $13 per displaced student and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(114/140/167), with the signed-survey floor of 74 kept as hard evidence below every priced leg. v5.0 lever weights: triangular 1-2-1 on every three-leg lever, uniform on teachers. Weighted median -$447,573 (the median scenario LOSES money); middle half -$552,323 to -$347,374; all but ONE of the 972 weighted scenarios are negative, and the single best corner nets +$1,678 a year, about $13 per displaced student; range -$915,893 to +$1,678 (unweighted median -$446,722).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(last official SAAR end-of-year count, 2024-25)</t>
        </is>
      </c>
      <c r="B8" s="10" t="n">
        <v>128</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128</t>
        </is>
      </c>
      <c r="D18" s="25" t="inlineStr">
        <is>
          <t>Per year, full feeder</t>
        </is>
      </c>
      <c r="E18" s="25" t="inlineStr">
        <is>
          <t>$/yr (feeder)</t>
        </is>
      </c>
      <c r="F18" s="25" t="inlineStr">
        <is>
          <t>Basis</t>
        </is>
      </c>
    </row>
    <row r="19">
      <c r="A19" s="3" t="inlineStr">
        <is>
          <t>Band low (25th pct)</t>
        </is>
      </c>
      <c r="B19" s="10" t="n">
        <v>0.42025</v>
      </c>
      <c r="C19" s="11">
        <f>ROUND(B19*$B$8,0)</f>
        <v/>
      </c>
      <c r="D19" s="11">
        <f>ROUND(B19*$B$9*$B$15,0)</f>
        <v/>
      </c>
      <c r="E19" s="9">
        <f>D19*(Assumptions!B6+500)</f>
        <v/>
      </c>
      <c r="F19" s="21" t="inlineStr">
        <is>
          <t>Middle half of the corrected posterior; the closure grid's low leg</t>
        </is>
      </c>
    </row>
    <row r="20">
      <c r="A20" s="3" t="inlineStr">
        <is>
          <t>Median</t>
        </is>
      </c>
      <c r="B20" s="10" t="n">
        <v>0.51625</v>
      </c>
      <c r="C20" s="11">
        <f>ROUND(B20*$B$8,0)</f>
        <v/>
      </c>
      <c r="D20" s="11">
        <f>ROUND(B20*$B$9*$B$15,0)</f>
        <v/>
      </c>
      <c r="E20" s="9">
        <f>D20*(Assumptions!B6+500)</f>
        <v/>
      </c>
      <c r="F20" s="21" t="inlineStr">
        <is>
          <t>The closure grid's central leg and the calculator default</t>
        </is>
      </c>
    </row>
    <row r="21">
      <c r="A21" s="3" t="inlineStr">
        <is>
          <t>Band high (75th pct)</t>
        </is>
      </c>
      <c r="B21" s="10" t="n">
        <v>0.61375</v>
      </c>
      <c r="C21" s="11">
        <f>ROUND(B21*$B$8,0)</f>
        <v/>
      </c>
      <c r="D21" s="11">
        <f>ROUND(B21*$B$9*$B$15,0)</f>
        <v/>
      </c>
      <c r="E21" s="9">
        <f>D21*(Assumptions!B6+500)</f>
        <v/>
      </c>
      <c r="F21" s="21" t="inlineStr">
        <is>
          <t>The closure grid's high leg</t>
        </is>
      </c>
    </row>
    <row r="22">
      <c r="A22" s="3" t="inlineStr">
        <is>
          <t>95th percentile bound</t>
        </is>
      </c>
      <c r="B22" s="10" t="n">
        <v>0.74475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among enrolled surveyed children the raw split is 20 leavers to 4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The 24-child enrolled sample is the hand-coded floor: class-year designations are not assumed accurate and likely undercount who is enrolled now, so the true enrolled respondent count is probably higher at a similar leave rate, and the silent pool smaller than the correction assumes; both effects would raise the corrected share, so the published band leans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+$142,220 (the site default, 30 students at $4,736, lands at +$142,080, within $140 of it);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$915,893 to plus $1,678 with a weighted median of minus $447,573,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-$447,573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(-$429,750); the weighted median loses $447,573</t>
        </is>
      </c>
    </row>
    <row r="47">
      <c r="A47" s="3" t="inlineStr">
        <is>
          <t>Closure model median (v5.0 weighted grid)</t>
        </is>
      </c>
      <c r="B47" s="8" t="n">
        <v>-447573</v>
      </c>
      <c r="C47" s="9">
        <f>B47*(1-(1+B$40)^-B$41)/B$40</f>
        <v/>
      </c>
      <c r="F47" s="21" t="inlineStr">
        <is>
          <t>Closure_Model tab, 972-combination grid; the median scenario loses money</t>
        </is>
      </c>
    </row>
    <row r="48">
      <c r="A48" s="3" t="inlineStr">
        <is>
          <t>Closure model best case (favorable tail)</t>
        </is>
      </c>
      <c r="B48" s="8" t="n">
        <v>1678</v>
      </c>
      <c r="C48" s="9">
        <f>B48*(1-(1+B$40)^-B$41)/B$40</f>
        <v/>
      </c>
      <c r="F48" s="21" t="inlineStr">
        <is>
          <t>Closure_Model tab B49: the grid's lone positive corner</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the grid's lone positive corner (+$1,678) is a rounding error against the need; the -$447,573 weighted median drains reserves faster than status quo; all but one of the 972 weighted scenarios lose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-447573</v>
      </c>
      <c r="C6" s="9">
        <f>Runway!E7</f>
        <v/>
      </c>
      <c r="D6" s="2" t="inlineStr">
        <is>
          <t>Unpublished</t>
        </is>
      </c>
      <c r="E6" s="2" t="inlineStr">
        <is>
          <t>Closure vote; the weighted median LOSES $447,573 a year (B6 is the grid median; the legacy single-point Closure_Model!B20 is superseded); the grid central case itself loses $429,750, and 971 of the 972 weighted scenarios lose money (the lone best corner nets $1,678);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-447573/Assumptions!B11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2026-08-18T02:07:51Z</dcterms:created>
  <dcterms:modified xmlns:dcterms="http://purl.org/dc/terms/" xmlns:xsi="http://www.w3.org/2001/XMLSchema-instance" xsi:type="dcterms:W3CDTF">2026-08-18T02:07:52Z</dcterms:modified>
</cp:coreProperties>
</file>