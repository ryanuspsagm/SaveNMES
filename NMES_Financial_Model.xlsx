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and Bourbon County Colonel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through the prior release.</t>
        </is>
      </c>
    </row>
    <row r="52">
      <c r="A52" s="3" t="inlineStr">
        <is>
          <t>Plant operations avoided (custodial + building costs)</t>
        </is>
      </c>
      <c r="B52" s="14" t="n">
        <v>128867</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$52,514: about 2.0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+$484,582 a year: the district's fullest documented case, still below the plan's $800K-$1M requirement</t>
        </is>
      </c>
    </row>
    <row r="50">
      <c r="A50" s="21" t="inlineStr">
        <is>
          <t>Distribution of all 5,832 combinations enumerated by build/closure_grid.py: capture, fixed-position, add-ons, property and busing levers take three values each, teachers four (0/1/2/3) and leavers six (0/13/26/38/51/64): 3^5 x 4 x 6 = 5,832. v4.5 lever weights: triangular 1-2-1 on the five levers with a documented central setting; uniform on teachers and leavers, where the record gives no defensible center. Weighted median -$20,007 (the median scenario LOSES money); middle half -$137,095 to +$98,603; 55 percent of weighted scenarios negative; range -$591,545 to +$484,582 (unweighted median -$24,431). v4.5 MUNIS pass: the fixed-position lever now uses FY2026 actuals from the district's own ledger ($214,104) instead of working-budget lines ($218,154).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1"/>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18">
        <f>Redistricting!B30</f>
        <v/>
      </c>
      <c r="C11" s="18">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18">
        <f>25*(Assumptions!B6-Assumptions!B62)</f>
        <v/>
      </c>
      <c r="C12" s="18">
        <f>50*(Assumptions!B6-Assumptions!B62)</f>
        <v/>
      </c>
      <c r="D12" s="2" t="inlineStr">
        <is>
          <t>25-50 additional students at $4,226 net; pool measured on Redistricting rows 116-135 (259 registered homeschoolers, ACS pool ~1,135, net import already 189); 62 open seats exist at Bourbon Central's approved rating</t>
        </is>
      </c>
      <c r="E12" s="2" t="inlineStr">
        <is>
          <t>New revenue</t>
        </is>
      </c>
      <c r="F12" s="2" t="inlineStr">
        <is>
          <t>Medium; needs an enrollment marketing plan and incentive design</t>
        </is>
      </c>
    </row>
    <row r="13">
      <c r="A13" s="22" t="inlineStr">
        <is>
          <t>Total identified (ranges overlap; not additive to the penny)</t>
        </is>
      </c>
      <c r="B13" s="24">
        <f>SUM(B4:B12)</f>
        <v/>
      </c>
      <c r="C13" s="24">
        <f>SUM(C4:C12)</f>
        <v/>
      </c>
    </row>
    <row r="15">
      <c r="A15" s="4" t="inlineStr">
        <is>
          <t>COMPARISON</t>
        </is>
      </c>
    </row>
    <row r="16">
      <c r="A16" s="3" t="inlineStr">
        <is>
          <t>Package midpoint (raw sum of ranges)</t>
        </is>
      </c>
      <c r="B16" s="9">
        <f>(B13+C13)/2</f>
        <v/>
      </c>
    </row>
    <row r="17">
      <c r="A17" s="3" t="inlineStr">
        <is>
          <t>Published band, low (raw row sums, no haircut)</t>
        </is>
      </c>
      <c r="B17" s="14" t="n">
        <v>1393830</v>
      </c>
    </row>
    <row r="18">
      <c r="A18" s="3" t="inlineStr">
        <is>
          <t>Conservative combined estimate, high</t>
        </is>
      </c>
      <c r="B18" s="14" t="n">
        <v>1700000</v>
      </c>
    </row>
    <row r="19">
      <c r="A19" s="3" t="inlineStr">
        <is>
          <t>Band midpoint (used in Runway sheet)</t>
        </is>
      </c>
      <c r="B19" s="9">
        <f>(B17+B18)/2</f>
        <v/>
      </c>
    </row>
    <row r="20">
      <c r="A20" s="3" t="inlineStr">
        <is>
          <t>Average annual GF drawdown (FY2024-25)</t>
        </is>
      </c>
      <c r="B20" s="18">
        <f>GF_Summary!D16</f>
        <v/>
      </c>
    </row>
    <row r="21">
      <c r="A21" s="3" t="inlineStr">
        <is>
          <t>Closure net saving (base case)</t>
        </is>
      </c>
      <c r="B21" s="18">
        <f>Closure_Model!B20</f>
        <v/>
      </c>
    </row>
    <row r="23">
      <c r="A23" s="21" t="inlineStr">
        <is>
          <t>Reading: the published band IS the raw row sums, $1.4M to $2.3M, with no haircut (v4.4 review);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rows 21 and 35 carry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23">
        <f>SUM(B7:B10)</f>
        <v/>
      </c>
      <c r="C26" s="23">
        <f>SUM(C7:C10)</f>
        <v/>
      </c>
    </row>
    <row r="27">
      <c r="A27" s="3" t="inlineStr">
        <is>
          <t>Move 2: grow enrollment instead of shrinking it (attendance recovery, fill NMES, district-wide recruitment)</t>
        </is>
      </c>
      <c r="B27" s="23">
        <f>B6+B11+B12</f>
        <v/>
      </c>
      <c r="C27" s="23">
        <f>C6+C11+C12</f>
        <v/>
      </c>
    </row>
    <row r="28">
      <c r="A28" s="3" t="inlineStr">
        <is>
          <t>Move 3: the honest revenue conversation, year one (4 percent option plus delinquency; compounds by year three; recallable menu beyond it on Tax_History rows 70-91)</t>
        </is>
      </c>
      <c r="B28" s="23">
        <f>B4+B5</f>
        <v/>
      </c>
      <c r="C28" s="23">
        <f>C4+C5</f>
        <v/>
      </c>
    </row>
    <row r="29">
      <c r="A29" s="3" t="inlineStr">
        <is>
          <t>Growth plan total (equals the raw sum above; the published band is the conservative cut of the same rows)</t>
        </is>
      </c>
      <c r="B29" s="23">
        <f>B26+B27+B28</f>
        <v/>
      </c>
      <c r="C29" s="23">
        <f>C26+C27+C28</f>
        <v/>
      </c>
    </row>
    <row r="30">
      <c r="A30"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row r="31">
      <c r="A31" s="3" t="inlineStr">
        <is>
          <t>Plan at TOP ends: enrollment $530K (Move 2 high) + costs $1.30M</t>
        </is>
      </c>
      <c r="B31" s="8" t="n">
        <v>1830000</v>
      </c>
      <c r="C31" s="2" t="inlineStr">
        <is>
          <t>CORRECTED: an earlier release used $1.11M-$3.33M for the enrollment lever; the model's own Move 2 rows price it at $260K-$530K and that band now governs. At the LOW ends with the full restore the plan clears the gap with about $71K to spare and funds no raise.</t>
        </is>
      </c>
    </row>
    <row r="32">
      <c r="A32" s="3" t="inlineStr">
        <is>
          <t>Full 2018 rate restore (Tax_History basis)</t>
        </is>
      </c>
      <c r="B32" s="8" t="n">
        <v>1699479</v>
      </c>
    </row>
    <row r="33">
      <c r="A33" s="3" t="inlineStr">
        <is>
          <t>Structural gap before transfers</t>
        </is>
      </c>
      <c r="B33" s="18">
        <f>Assumptions!B24-Assumptions!B21</f>
        <v/>
      </c>
    </row>
    <row r="34">
      <c r="A34" s="3" t="inlineStr">
        <is>
          <t>Recurring surplus after the gap (top ends + full restore)</t>
        </is>
      </c>
      <c r="B34" s="23">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23">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23">
        <f>B37+B38</f>
        <v/>
      </c>
    </row>
    <row r="40">
      <c r="A40" s="21" t="inlineStr">
        <is>
          <t>Reading: at the plan's TOP ends with the full restore, the district funds a 5 percent certified raise AND about $37 million of building capacity ($4.9M of new GF-leveraged bonds plus the advisor's $32M), with every school open. At the LOW ends with the full restore the plan clears the gap with about $71K to spare.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($52,514); the weighted median itself is negative (-$20,007)</t>
        </is>
      </c>
    </row>
    <row r="47">
      <c r="A47" s="3" t="inlineStr">
        <is>
          <t>Closure model median (v4.5 weighted grid)</t>
        </is>
      </c>
      <c r="B47" s="8" t="n">
        <v>-20007</v>
      </c>
      <c r="C47" s="9">
        <f>B47*(1-(1+B$40)^-B$41)/B$40</f>
        <v/>
      </c>
      <c r="F47" s="21" t="inlineStr">
        <is>
          <t>Closure_Model tab, 5,832-combination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(v4.5): at the +$484,582 best case FY2029 ends near $1.2M; at the -$20,007 weighted median the reserves go slightly FASTER than status quo; 55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2026-08-02T15:24:12Z</dcterms:created>
  <dcterms:modified xmlns:dcterms="http://purl.org/dc/terms/" xmlns:xsi="http://www.w3.org/2001/XMLSchema-instance" xsi:type="dcterms:W3CDTF">2026-08-02T15:24:12Z</dcterms:modified>
</cp:coreProperties>
</file>