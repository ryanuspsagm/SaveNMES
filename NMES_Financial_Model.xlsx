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GF_Summary" sheetId="3" state="visible" r:id="rId3"/>
    <sheet name="Closure_Model" sheetId="4" state="visible" r:id="rId4"/>
    <sheet name="Growth_Model" sheetId="5" state="visible" r:id="rId5"/>
    <sheet name="Redistricting" sheetId="6" state="visible" r:id="rId6"/>
    <sheet name="Transport_Geo" sheetId="7" state="visible" r:id="rId7"/>
    <sheet name="Alternatives" sheetId="8" state="visible" r:id="rId8"/>
    <sheet name="Debt_Service" sheetId="9" state="visible" r:id="rId9"/>
    <sheet name="Runway" sheetId="10" state="visible" r:id="rId10"/>
    <sheet name="Scenarios" sheetId="11" state="visible" r:id="rId11"/>
    <sheet name="Tax_History" sheetId="12" state="visible" r:id="rId12"/>
    <sheet name="Demographics" sheetId="13" state="visible" r:id="rId13"/>
    <sheet name="School_Data" sheetId="14" state="visible" r:id="rId14"/>
    <sheet name="Facility_Plans" sheetId="15" state="visible" r:id="rId15"/>
  </sheets>
  <definedNames/>
  <calcPr calcId="124519" fullCalcOnLoad="1"/>
</workbook>
</file>

<file path=xl/styles.xml><?xml version="1.0" encoding="utf-8"?>
<styleSheet xmlns="http://schemas.openxmlformats.org/spreadsheetml/2006/main">
  <numFmts count="4">
    <numFmt numFmtId="164" formatCode="$#,##0;($#,##0);&quot;-&quot;"/>
    <numFmt numFmtId="165" formatCode="#,##0;(#,##0);&quot;-&quot;"/>
    <numFmt numFmtId="166" formatCode="0.0%"/>
    <numFmt numFmtId="167" formatCode="0.0"/>
  </numFmts>
  <fonts count="9">
    <font>
      <name val="Calibri"/>
      <family val="2"/>
      <color theme="1"/>
      <sz val="11"/>
      <scheme val="minor"/>
    </font>
    <font>
      <name val="Arial"/>
      <b val="1"/>
      <color rgb="001F3864"/>
      <sz val="13"/>
    </font>
    <font>
      <name val="Arial"/>
      <i val="1"/>
      <color rgb="00555555"/>
      <sz val="9"/>
    </font>
    <font>
      <name val="Arial"/>
      <sz val="10"/>
    </font>
    <font>
      <name val="Arial"/>
      <b val="1"/>
      <color rgb="001F3864"/>
      <sz val="10"/>
    </font>
    <font>
      <name val="Arial"/>
      <color rgb="000000FF"/>
      <sz val="10"/>
    </font>
    <font>
      <name val="Arial"/>
      <color rgb="00008000"/>
      <sz val="10"/>
    </font>
    <font>
      <name val="Arial"/>
      <b val="1"/>
      <color rgb="00FFFFFF"/>
      <sz val="11"/>
    </font>
    <font>
      <name val="Arial"/>
      <b val="1"/>
      <sz val="10"/>
    </font>
  </fonts>
  <fills count="4">
    <fill>
      <patternFill/>
    </fill>
    <fill>
      <patternFill patternType="gray125"/>
    </fill>
    <fill>
      <patternFill patternType="solid">
        <fgColor rgb="00FFFF00"/>
      </patternFill>
    </fill>
    <fill>
      <patternFill patternType="solid">
        <fgColor rgb="001F3864"/>
      </patternFill>
    </fill>
  </fills>
  <borders count="2">
    <border>
      <left/>
      <right/>
      <top/>
      <bottom/>
      <diagonal/>
    </border>
    <border>
      <top style="thin">
        <color rgb="001F3864"/>
      </top>
    </border>
  </borders>
  <cellStyleXfs count="1">
    <xf numFmtId="0" fontId="0" fillId="0" borderId="0"/>
  </cellStyleXfs>
  <cellXfs count="3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3" fillId="2" borderId="0" pivotButton="0" quotePrefix="0" xfId="0"/>
    <xf numFmtId="164" fontId="5" fillId="0" borderId="0" pivotButton="0" quotePrefix="0" xfId="0"/>
    <xf numFmtId="164" fontId="3" fillId="0" borderId="0" pivotButton="0" quotePrefix="0" xfId="0"/>
    <xf numFmtId="165" fontId="5" fillId="0" borderId="0" pivotButton="0" quotePrefix="0" xfId="0"/>
    <xf numFmtId="165" fontId="3" fillId="0" borderId="0" pivotButton="0" quotePrefix="0" xfId="0"/>
    <xf numFmtId="2" fontId="5" fillId="0" borderId="0" pivotButton="0" quotePrefix="0" xfId="0"/>
    <xf numFmtId="166" fontId="5" fillId="0" borderId="0" pivotButton="0" quotePrefix="0" xfId="0"/>
    <xf numFmtId="164" fontId="5" fillId="2" borderId="0" pivotButton="0" quotePrefix="0" xfId="0"/>
    <xf numFmtId="166" fontId="5" fillId="2" borderId="0" pivotButton="0" quotePrefix="0" xfId="0"/>
    <xf numFmtId="165" fontId="5" fillId="2" borderId="0" pivotButton="0" quotePrefix="0" xfId="0"/>
    <xf numFmtId="0" fontId="7" fillId="3" borderId="0" pivotButton="0" quotePrefix="0" xfId="0"/>
    <xf numFmtId="164" fontId="6" fillId="0" borderId="0" pivotButton="0" quotePrefix="0" xfId="0"/>
    <xf numFmtId="166" fontId="3" fillId="0" borderId="0" pivotButton="0" quotePrefix="0" xfId="0"/>
    <xf numFmtId="167" fontId="3" fillId="0" borderId="0" pivotButton="0" quotePrefix="0" xfId="0"/>
    <xf numFmtId="0" fontId="2" fillId="0" borderId="0" applyAlignment="1" pivotButton="0" quotePrefix="0" xfId="0">
      <alignment vertical="top" wrapText="1"/>
    </xf>
    <xf numFmtId="0" fontId="8" fillId="0" borderId="0" pivotButton="0" quotePrefix="0" xfId="0"/>
    <xf numFmtId="164" fontId="8" fillId="0" borderId="0" pivotButton="0" quotePrefix="0" xfId="0"/>
    <xf numFmtId="164" fontId="8" fillId="0" borderId="1" pivotButton="0" quotePrefix="0" xfId="0"/>
    <xf numFmtId="165" fontId="6" fillId="0" borderId="0" pivotButton="0" quotePrefix="0" xfId="0"/>
    <xf numFmtId="1" fontId="3" fillId="0" borderId="0" pivotButton="0" quotePrefix="0" xfId="0"/>
    <xf numFmtId="2" fontId="5" fillId="2" borderId="0" pivotButton="0" quotePrefix="0" xfId="0"/>
    <xf numFmtId="167" fontId="5" fillId="0" borderId="0" pivotButton="0" quotePrefix="0" xfId="0"/>
    <xf numFmtId="2" fontId="3" fillId="0" borderId="0" pivotButton="0" quotePrefix="0" xfId="0"/>
    <xf numFmtId="164" fontId="3" fillId="0" borderId="1" pivotButton="0" quotePrefix="0" xfId="0"/>
    <xf numFmtId="1" fontId="5" fillId="0" borderId="0" pivotButton="0" quotePrefix="0" xfId="0"/>
    <xf numFmtId="167" fontId="7" fillId="3" borderId="0" pivotButton="0" quotePrefix="0" xfId="0"/>
    <xf numFmtId="165" fontId="8" fillId="0" borderId="0" pivotButton="0" quotePrefix="0" xfId="0"/>
    <xf numFmtId="166" fontId="8"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8"/>
  <sheetViews>
    <sheetView showGridLines="1" workbookViewId="0">
      <selection activeCell="A1" sqref="A1"/>
    </sheetView>
  </sheetViews>
  <sheetFormatPr baseColWidth="8" defaultRowHeight="15"/>
  <cols>
    <col width="110" customWidth="1" min="1" max="1"/>
  </cols>
  <sheetData>
    <row r="1">
      <c r="A1" s="1" t="inlineStr">
        <is>
          <t>Saving North Middletown Elementary School: Financial Model</t>
        </is>
      </c>
    </row>
    <row r="2">
      <c r="A2" s="2" t="inlineStr">
        <is>
          <t>Companion workbook to the July 2026 report 'A Deep Dive into Bourbon County Schools' (Bourbon County, Kentucky)</t>
        </is>
      </c>
    </row>
    <row r="3">
      <c r="A3" s="3" t="inlineStr"/>
    </row>
    <row r="4">
      <c r="A4" s="4" t="inlineStr">
        <is>
          <t>PURPOSE</t>
        </is>
      </c>
    </row>
    <row r="5">
      <c r="A5" s="3" t="inlineStr">
        <is>
          <t>This workbook backs up every calculation in the PDF report: the district's three-year General Fund picture, the net-savings test of the</t>
        </is>
      </c>
    </row>
    <row r="6">
      <c r="A6" s="3" t="inlineStr">
        <is>
          <t>closure proposal, the 'grow the Kings' nonresident-enrollment model, the alternatives menu, the bond schedule, and a reserve-runway</t>
        </is>
      </c>
    </row>
    <row r="7">
      <c r="A7" s="3" t="inlineStr">
        <is>
          <t>projection. Every output is a live formula; change the blue inputs or yellow judgment cells and the model recalculates.</t>
        </is>
      </c>
    </row>
    <row r="8">
      <c r="A8" s="3" t="inlineStr"/>
    </row>
    <row r="9">
      <c r="A9" s="4" t="inlineStr">
        <is>
          <t>HOW TO READ THE CELLS</t>
        </is>
      </c>
    </row>
    <row r="10">
      <c r="A10" s="5" t="inlineStr">
        <is>
          <t xml:space="preserve">  Blue text  = a hardcoded input you can edit (audited figures, state data, or scenario levers; source noted alongside).</t>
        </is>
      </c>
    </row>
    <row r="11">
      <c r="A11" s="2" t="inlineStr">
        <is>
          <t xml:space="preserve">  Black text = a formula. Do not overwrite.</t>
        </is>
      </c>
    </row>
    <row r="12">
      <c r="A12" s="6" t="inlineStr">
        <is>
          <t xml:space="preserve">  Green text = a value pulled from another sheet in this workbook.</t>
        </is>
      </c>
    </row>
    <row r="13">
      <c r="A13" s="7" t="inlineStr">
        <is>
          <t xml:space="preserve">  Yellow fill = a key judgment call or estimate the district should replace with actual data. Review these first.</t>
        </is>
      </c>
    </row>
    <row r="14">
      <c r="A14" s="3" t="inlineStr"/>
    </row>
    <row r="15">
      <c r="A15" s="4" t="inlineStr">
        <is>
          <t>SOURCES (full citations in the PDF report)</t>
        </is>
      </c>
    </row>
    <row r="16">
      <c r="A16" s="2" t="inlineStr">
        <is>
          <t xml:space="preserve">  Audited figures: Bourbon County School District audited financial statements, FY2023-24 and FY2024-25 (posted by KDE).</t>
        </is>
      </c>
    </row>
    <row r="17">
      <c r="A17" s="2" t="inlineStr">
        <is>
          <t xml:space="preserve">  Per-pupil spending: Kentucky School Report Card school-level (ESSA) expenditure data, 2023-24.</t>
        </is>
      </c>
    </row>
    <row r="18">
      <c r="A18" s="2" t="inlineStr">
        <is>
          <t xml:space="preserve">  SEEK base amounts: Kentucky 2024-2026 and 2026-2028 state budgets. Enrollment/capacity: NCES; 2021 KBE-approved facility plan.</t>
        </is>
      </c>
    </row>
    <row r="19">
      <c r="A19" s="2" t="inlineStr">
        <is>
          <t xml:space="preserve">  Multi-year school scores and NMES enrollment history: School_Data tab (backs report Figures 6, 7, and 11).</t>
        </is>
      </c>
    </row>
    <row r="20">
      <c r="A20" s="2" t="inlineStr">
        <is>
          <t xml:space="preserve">  County demographics and the full 1989-2025 NMES enrollment series: Demographics tab (backs Section 9 and Figure 11).</t>
        </is>
      </c>
    </row>
    <row r="21">
      <c r="A21" s="2" t="inlineStr">
        <is>
          <t xml:space="preserve">  Tax rates, fund split, delinquency check, and the 4% three-year path: Tax_History tab (backs Figure 15).</t>
        </is>
      </c>
    </row>
    <row r="22">
      <c r="A22" s="2" t="inlineStr">
        <is>
          <t xml:space="preserve">  Boundary rebalancing and fill-to-capacity scenario: Redistricting tab (backs the Section 9 worked example and Figure 12).</t>
        </is>
      </c>
    </row>
    <row r="23">
      <c r="A23" s="2" t="inlineStr">
        <is>
          <t xml:space="preserve">  Bonding capacity components and what closure can and cannot change: Debt_Service tab (backs Section 6).</t>
        </is>
      </c>
    </row>
    <row r="24">
      <c r="A24" s="2" t="inlineStr">
        <is>
          <t xml:space="preserve">  Student density, route-mile math, and busing cost scenarios: Transport_Geo tab (backs Section 9).</t>
        </is>
      </c>
    </row>
    <row r="25">
      <c r="A25" s="3" t="inlineStr"/>
    </row>
    <row r="26">
      <c r="A26" s="4" t="inlineStr">
        <is>
          <t>CAVEAT</t>
        </is>
      </c>
    </row>
    <row r="27">
      <c r="A27" s="3" t="inlineStr">
        <is>
          <t>Prepared by a former NMES King working alongside Claude, an AI research assistant from Anthropic. Estimates are labeled; every figure</t>
        </is>
      </c>
    </row>
    <row r="28">
      <c r="A28" s="3" t="inlineStr">
        <is>
          <t>should be re-verified against the cited primary sources before formal use. Nothing here alleges misconduct by any official.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67"/>
  <sheetViews>
    <sheetView showGridLines="1" workbookViewId="0">
      <selection activeCell="A1" sqref="A1"/>
    </sheetView>
  </sheetViews>
  <sheetFormatPr baseColWidth="8" defaultRowHeight="15"/>
  <cols>
    <col width="52" customWidth="1" min="1" max="1"/>
    <col width="16" customWidth="1" min="2" max="2"/>
    <col width="60" customWidth="1" min="3" max="3"/>
  </cols>
  <sheetData>
    <row r="1">
      <c r="A1" s="1" t="inlineStr">
        <is>
          <t>Assumptions &amp; Inputs</t>
        </is>
      </c>
    </row>
    <row r="2">
      <c r="A2" s="2" t="inlineStr">
        <is>
          <t>Edit blue cells. Yellow cells are judgment calls/estimates; the district should replace them with actuals.</t>
        </is>
      </c>
    </row>
    <row r="4">
      <c r="A4" s="4" t="inlineStr">
        <is>
          <t>STATE FUNDING (SEEK base guarantee per pupil)</t>
        </is>
      </c>
    </row>
    <row r="5">
      <c r="A5" s="3" t="inlineStr">
        <is>
          <t>SEEK base, FY2026</t>
        </is>
      </c>
      <c r="B5" s="8" t="n">
        <v>4586</v>
      </c>
      <c r="C5" s="2" t="inlineStr">
        <is>
          <t>2024-2026 KY budget (HB 6); KDE SEEK files</t>
        </is>
      </c>
    </row>
    <row r="6">
      <c r="A6" s="3" t="inlineStr">
        <is>
          <t>SEEK base, FY2027</t>
        </is>
      </c>
      <c r="B6" s="8" t="n">
        <v>4626</v>
      </c>
      <c r="C6" s="2" t="inlineStr">
        <is>
          <t>2026-2028 KY budget (HB 500)</t>
        </is>
      </c>
    </row>
    <row r="7">
      <c r="A7" s="3" t="inlineStr">
        <is>
          <t>SEEK base, FY2028</t>
        </is>
      </c>
      <c r="B7" s="8" t="n">
        <v>4792</v>
      </c>
      <c r="C7" s="2" t="inlineStr">
        <is>
          <t>2026-2028 KY budget (HB 500)</t>
        </is>
      </c>
    </row>
    <row r="8">
      <c r="A8" s="3" t="inlineStr">
        <is>
          <t>SEEK base, FY2029 (held flat at FY2028)</t>
        </is>
      </c>
      <c r="B8" s="9">
        <f>B7</f>
        <v/>
      </c>
      <c r="C8" s="2" t="inlineStr">
        <is>
          <t>Assumption</t>
        </is>
      </c>
    </row>
    <row r="10">
      <c r="A10" s="4" t="inlineStr">
        <is>
          <t>NORTH MIDDLETOWN ELEMENTARY</t>
        </is>
      </c>
    </row>
    <row r="11">
      <c r="A11" s="3" t="inlineStr">
        <is>
          <t>Enrollment, 2024-25</t>
        </is>
      </c>
      <c r="B11" s="10" t="n">
        <v>128</v>
      </c>
      <c r="C11" s="2" t="inlineStr">
        <is>
          <t>NCES CCD official count. Supt. has said 'around 100'; a '118' figure could not be verified in any official record</t>
        </is>
      </c>
    </row>
    <row r="12">
      <c r="A12" s="3" t="inlineStr">
        <is>
          <t>Rated capacity</t>
        </is>
      </c>
      <c r="B12" s="10" t="n">
        <v>174</v>
      </c>
      <c r="C12" s="2" t="inlineStr">
        <is>
          <t>2021 KBE-approved District Facility Plan. A policy output, not a physical constant: the same building held 261 students in 1988-89. See report Section 7</t>
        </is>
      </c>
    </row>
    <row r="13">
      <c r="A13" s="3" t="inlineStr">
        <is>
          <t>Open seats</t>
        </is>
      </c>
      <c r="B13" s="11">
        <f>B12-B11</f>
        <v/>
      </c>
    </row>
    <row r="14">
      <c r="A14" s="3" t="inlineStr">
        <is>
          <t>Per-pupil spending, total (2023-24)</t>
        </is>
      </c>
      <c r="B14" s="8" t="n">
        <v>19348</v>
      </c>
      <c r="C14" s="2" t="inlineStr">
        <is>
          <t>KY School Report Card, ESSA school-level data</t>
        </is>
      </c>
    </row>
    <row r="15">
      <c r="A15" s="3" t="inlineStr">
        <is>
          <t>Per-pupil spending, state/local share</t>
        </is>
      </c>
      <c r="B15" s="8" t="n">
        <v>14173</v>
      </c>
      <c r="C15" s="2" t="inlineStr">
        <is>
          <t>KY School Report Card, ESSA school-level data</t>
        </is>
      </c>
    </row>
    <row r="16">
      <c r="A16" s="3" t="inlineStr">
        <is>
          <t>Classroom teachers (FTE)</t>
        </is>
      </c>
      <c r="B16" s="12" t="n">
        <v>9.41</v>
      </c>
      <c r="C16" s="2" t="inlineStr">
        <is>
          <t>NCES</t>
        </is>
      </c>
    </row>
    <row r="18">
      <c r="A18" s="4" t="inlineStr">
        <is>
          <t>DISTRICT GENERAL FUND (audited)</t>
        </is>
      </c>
    </row>
    <row r="19">
      <c r="A19" s="3" t="inlineStr">
        <is>
          <t>Revenues before transfers, FY2023</t>
        </is>
      </c>
      <c r="B19" s="8" t="n">
        <v>27668655</v>
      </c>
      <c r="C19" s="2" t="inlineStr">
        <is>
          <t>FY2024 audit (comparative)</t>
        </is>
      </c>
    </row>
    <row r="20">
      <c r="A20" s="3" t="inlineStr">
        <is>
          <t>Revenues before transfers, FY2024</t>
        </is>
      </c>
      <c r="B20" s="8" t="n">
        <v>24952644</v>
      </c>
      <c r="C20" s="2" t="inlineStr">
        <is>
          <t>FY2024 audit</t>
        </is>
      </c>
    </row>
    <row r="21">
      <c r="A21" s="3" t="inlineStr">
        <is>
          <t>Revenues before transfers, FY2025</t>
        </is>
      </c>
      <c r="B21" s="8" t="n">
        <v>26449318</v>
      </c>
      <c r="C21" s="2" t="inlineStr">
        <is>
          <t>FY2025 audit</t>
        </is>
      </c>
    </row>
    <row r="22">
      <c r="A22" s="3" t="inlineStr">
        <is>
          <t>Expenditures before transfers, FY2023</t>
        </is>
      </c>
      <c r="B22" s="8" t="n">
        <v>27905775</v>
      </c>
      <c r="C22" s="2" t="inlineStr">
        <is>
          <t>FY2024 audit (comparative)</t>
        </is>
      </c>
    </row>
    <row r="23">
      <c r="A23" s="3" t="inlineStr">
        <is>
          <t>Expenditures before transfers, FY2024</t>
        </is>
      </c>
      <c r="B23" s="8" t="n">
        <v>27487732</v>
      </c>
      <c r="C23" s="2" t="inlineStr">
        <is>
          <t>FY2024 audit</t>
        </is>
      </c>
    </row>
    <row r="24">
      <c r="A24" s="3" t="inlineStr">
        <is>
          <t>Expenditures before transfers, FY2025</t>
        </is>
      </c>
      <c r="B24" s="8" t="n">
        <v>29097404</v>
      </c>
      <c r="C24" s="2" t="inlineStr">
        <is>
          <t>FY2025 audit</t>
        </is>
      </c>
    </row>
    <row r="25">
      <c r="A25" s="3" t="inlineStr">
        <is>
          <t>Net transfers &amp; other sources, FY2024</t>
        </is>
      </c>
      <c r="B25" s="8" t="n">
        <v>1469431</v>
      </c>
      <c r="C25" s="2" t="inlineStr">
        <is>
          <t>FY2024 audit</t>
        </is>
      </c>
    </row>
    <row r="26">
      <c r="A26" s="3" t="inlineStr">
        <is>
          <t>Net transfers &amp; other sources, FY2025</t>
        </is>
      </c>
      <c r="B26" s="8" t="n">
        <v>1422621</v>
      </c>
      <c r="C26" s="2" t="inlineStr">
        <is>
          <t>FY2025 audit</t>
        </is>
      </c>
    </row>
    <row r="27">
      <c r="A27" s="3" t="inlineStr">
        <is>
          <t>Ending fund balance, FY2023</t>
        </is>
      </c>
      <c r="B27" s="8" t="n">
        <v>6582802</v>
      </c>
      <c r="C27" s="2" t="inlineStr">
        <is>
          <t>FY2024 audit</t>
        </is>
      </c>
    </row>
    <row r="28">
      <c r="A28" s="3" t="inlineStr">
        <is>
          <t>Ending fund balance, FY2024</t>
        </is>
      </c>
      <c r="B28" s="8" t="n">
        <v>5516305</v>
      </c>
      <c r="C28" s="2" t="inlineStr">
        <is>
          <t>FY2024 audit</t>
        </is>
      </c>
    </row>
    <row r="29">
      <c r="A29" s="3" t="inlineStr">
        <is>
          <t>Ending fund balance, FY2025</t>
        </is>
      </c>
      <c r="B29" s="8" t="n">
        <v>4290840</v>
      </c>
      <c r="C29" s="2" t="inlineStr">
        <is>
          <t>FY2025 audit</t>
        </is>
      </c>
    </row>
    <row r="30">
      <c r="A30" s="3" t="inlineStr">
        <is>
          <t>Unassigned fund balance, FY2025</t>
        </is>
      </c>
      <c r="B30" s="8" t="n">
        <v>3925193</v>
      </c>
      <c r="C30" s="2" t="inlineStr">
        <is>
          <t>FY2025 audit</t>
        </is>
      </c>
    </row>
    <row r="31">
      <c r="A31" s="3" t="inlineStr">
        <is>
          <t>Required contingency (share of spending)</t>
        </is>
      </c>
      <c r="B31" s="13" t="n">
        <v>0.02</v>
      </c>
      <c r="C31" s="2" t="inlineStr">
        <is>
          <t>Kentucky 2% statutory minimum</t>
        </is>
      </c>
    </row>
    <row r="33">
      <c r="A33" s="4" t="inlineStr">
        <is>
          <t>LOCAL REVENUE</t>
        </is>
      </c>
    </row>
    <row r="34">
      <c r="A34" s="3" t="inlineStr">
        <is>
          <t>Property assessment, FY2025</t>
        </is>
      </c>
      <c r="B34" s="8" t="n">
        <v>1843569625</v>
      </c>
      <c r="C34" s="2" t="inlineStr">
        <is>
          <t>FY2025 audit MD&amp;A</t>
        </is>
      </c>
    </row>
    <row r="35">
      <c r="A35" s="3" t="inlineStr">
        <is>
          <t>GF property tax collected, FY2025</t>
        </is>
      </c>
      <c r="B35" s="8" t="n">
        <v>7829060</v>
      </c>
      <c r="C35" s="2" t="inlineStr">
        <is>
          <t>FY2025 audit</t>
        </is>
      </c>
    </row>
    <row r="36">
      <c r="A36" s="3" t="inlineStr">
        <is>
          <t>Annual levy adjustment (KRS 160.470)</t>
        </is>
      </c>
      <c r="B36" s="13" t="n">
        <v>0.04</v>
      </c>
      <c r="C36" s="2" t="inlineStr">
        <is>
          <t>Board lever; up to 4% without recall</t>
        </is>
      </c>
    </row>
    <row r="37">
      <c r="A37" s="3" t="inlineStr">
        <is>
          <t>Uncollected (delinquent) property tax, FY2024</t>
        </is>
      </c>
      <c r="B37" s="8" t="n">
        <v>387840</v>
      </c>
      <c r="C37" s="2" t="inlineStr">
        <is>
          <t>Calc yield $10,556,809 vs actual $10,168,969; ~3.7% delinquency, not foregone levy authority</t>
        </is>
      </c>
    </row>
    <row r="38">
      <c r="A38" s="3" t="inlineStr">
        <is>
          <t>Uncollected (delinquent) property tax, FY2025</t>
        </is>
      </c>
      <c r="B38" s="8" t="n">
        <v>239126</v>
      </c>
      <c r="C38" s="2" t="inlineStr">
        <is>
          <t>Calc yield $9,880,143 vs actual $9,641,017; ~2.4% delinquency, not foregone levy authority</t>
        </is>
      </c>
    </row>
    <row r="40">
      <c r="A40" s="4" t="inlineStr">
        <is>
          <t>COST STRUCTURE</t>
        </is>
      </c>
    </row>
    <row r="41">
      <c r="A41" s="3" t="inlineStr">
        <is>
          <t>Loaded cost per certified position (est.)</t>
        </is>
      </c>
      <c r="B41" s="14" t="n">
        <v>85000</v>
      </c>
      <c r="C41" s="2" t="inlineStr">
        <is>
          <t>Estimate; replace with district payroll data</t>
        </is>
      </c>
    </row>
    <row r="42">
      <c r="A42" s="3" t="inlineStr">
        <is>
          <t>Transportation expense, FY2025</t>
        </is>
      </c>
      <c r="B42" s="8" t="n">
        <v>2913654</v>
      </c>
      <c r="C42" s="2" t="inlineStr">
        <is>
          <t>FY2025 audit</t>
        </is>
      </c>
    </row>
    <row r="43">
      <c r="A43" s="3" t="inlineStr">
        <is>
          <t>Transport optimization, low</t>
        </is>
      </c>
      <c r="B43" s="15" t="n">
        <v>0.05</v>
      </c>
      <c r="C43" s="2" t="inlineStr">
        <is>
          <t>Estimate</t>
        </is>
      </c>
    </row>
    <row r="44">
      <c r="A44" s="3" t="inlineStr">
        <is>
          <t>Transport optimization, high</t>
        </is>
      </c>
      <c r="B44" s="15" t="n">
        <v>0.1</v>
      </c>
      <c r="C44" s="2" t="inlineStr">
        <is>
          <t>Estimate</t>
        </is>
      </c>
    </row>
    <row r="45">
      <c r="A45" s="3" t="inlineStr">
        <is>
          <t>District administration expense, FY2023</t>
        </is>
      </c>
      <c r="B45" s="8" t="n">
        <v>999727</v>
      </c>
      <c r="C45" s="2" t="inlineStr">
        <is>
          <t>FY2024 audit</t>
        </is>
      </c>
    </row>
    <row r="46">
      <c r="A46" s="3" t="inlineStr">
        <is>
          <t>District administration expense, FY2025</t>
        </is>
      </c>
      <c r="B46" s="8" t="n">
        <v>1447164</v>
      </c>
      <c r="C46" s="2" t="inlineStr">
        <is>
          <t>FY2025 audit</t>
        </is>
      </c>
    </row>
    <row r="47">
      <c r="A47" s="3" t="inlineStr">
        <is>
          <t>Administrative rollback share of 2-yr growth</t>
        </is>
      </c>
      <c r="B47" s="15" t="n">
        <v>0.5</v>
      </c>
      <c r="C47" s="2" t="inlineStr">
        <is>
          <t>Judgment call</t>
        </is>
      </c>
    </row>
    <row r="48">
      <c r="A48" s="3" t="inlineStr">
        <is>
          <t>Attrition positions, district-wide</t>
        </is>
      </c>
      <c r="B48" s="16" t="n">
        <v>4</v>
      </c>
      <c r="C48" s="2" t="inlineStr">
        <is>
          <t>Judgment call</t>
        </is>
      </c>
    </row>
    <row r="50">
      <c r="A50" s="4" t="inlineStr">
        <is>
          <t>CLOSURE SCENARIO JUDGMENTS (estimates; district must replace with actuals)</t>
        </is>
      </c>
    </row>
    <row r="51">
      <c r="A51" s="3" t="inlineStr">
        <is>
          <t>Principal &amp; office costs avoided</t>
        </is>
      </c>
      <c r="B51" s="14" t="n">
        <v>175000</v>
      </c>
      <c r="C51" s="2" t="inlineStr">
        <is>
          <t>Estimate</t>
        </is>
      </c>
    </row>
    <row r="52">
      <c r="A52" s="3" t="inlineStr">
        <is>
          <t>Plant/utilities/insurance avoided, net of carrying cost</t>
        </is>
      </c>
      <c r="B52" s="14" t="n">
        <v>115000</v>
      </c>
      <c r="C52" s="2" t="inlineStr">
        <is>
          <t>Estimate; assumes building sold or repurposed</t>
        </is>
      </c>
    </row>
    <row r="53">
      <c r="A53" s="3" t="inlineStr">
        <is>
          <t>Teaching positions truly eliminated</t>
        </is>
      </c>
      <c r="B53" s="16" t="n">
        <v>3</v>
      </c>
      <c r="C53" s="2" t="inlineStr">
        <is>
          <t>Estimate; via attrition only</t>
        </is>
      </c>
    </row>
    <row r="54">
      <c r="A54" s="3" t="inlineStr">
        <is>
          <t>Added busing cost per year</t>
        </is>
      </c>
      <c r="B54" s="14" t="n">
        <v>137500</v>
      </c>
      <c r="C54" s="2" t="inlineStr">
        <is>
          <t>Estimate; midpoint of $75K-$200K</t>
        </is>
      </c>
    </row>
    <row r="55">
      <c r="A55" s="3" t="inlineStr">
        <is>
          <t>Students leaving the district on closure</t>
        </is>
      </c>
      <c r="B55" s="16" t="n">
        <v>10</v>
      </c>
      <c r="C55" s="2" t="inlineStr">
        <is>
          <t>Judgment call; see sensitivity table</t>
        </is>
      </c>
    </row>
    <row r="56">
      <c r="A56" s="3" t="inlineStr">
        <is>
          <t>One-time transition cost</t>
        </is>
      </c>
      <c r="B56" s="14" t="n">
        <v>100000</v>
      </c>
      <c r="C56" s="2" t="inlineStr">
        <is>
          <t>Estimate</t>
        </is>
      </c>
    </row>
    <row r="58">
      <c r="A58" s="4" t="inlineStr">
        <is>
          <t>GROWTH SCENARIO (nonresident enrollment under HB 563 / KRS 157.350)</t>
        </is>
      </c>
    </row>
    <row r="59">
      <c r="A59" s="3" t="inlineStr">
        <is>
          <t>Transfer students, Year 1 (FY2027)</t>
        </is>
      </c>
      <c r="B59" s="10" t="n">
        <v>15</v>
      </c>
      <c r="C59" s="2" t="inlineStr">
        <is>
          <t>Scenario lever</t>
        </is>
      </c>
    </row>
    <row r="60">
      <c r="A60" s="3" t="inlineStr">
        <is>
          <t>Transfer students, Year 2 (FY2028)</t>
        </is>
      </c>
      <c r="B60" s="10" t="n">
        <v>30</v>
      </c>
      <c r="C60" s="2" t="inlineStr">
        <is>
          <t>Scenario lever</t>
        </is>
      </c>
    </row>
    <row r="61">
      <c r="A61" s="3" t="inlineStr">
        <is>
          <t>Transfer students, Year 3 (FY2029)</t>
        </is>
      </c>
      <c r="B61" s="10" t="n">
        <v>46</v>
      </c>
      <c r="C61" s="2" t="inlineStr">
        <is>
          <t>Scenario lever; capped at open seats in model</t>
        </is>
      </c>
    </row>
    <row r="62">
      <c r="A62" s="3" t="inlineStr">
        <is>
          <t>Variable cost per transfer student</t>
        </is>
      </c>
      <c r="B62" s="14" t="n">
        <v>400</v>
      </c>
      <c r="C62" s="2" t="inlineStr">
        <is>
          <t>Estimate; supplies/materials</t>
        </is>
      </c>
    </row>
    <row r="63">
      <c r="A63" s="3" t="inlineStr">
        <is>
          <t>Added teacher once transfers exceed</t>
        </is>
      </c>
      <c r="B63" s="16" t="n">
        <v>30</v>
      </c>
      <c r="C63" s="2" t="inlineStr">
        <is>
          <t>Judgment call</t>
        </is>
      </c>
    </row>
    <row r="65">
      <c r="A65" s="4" t="inlineStr">
        <is>
          <t>DISTRICT-FAVORABLE CLOSURE CASE (red-team upper bound)</t>
        </is>
      </c>
    </row>
    <row r="66">
      <c r="A66" s="3" t="inlineStr">
        <is>
          <t>Positions eliminated, favorable case</t>
        </is>
      </c>
      <c r="B66" s="16" t="n">
        <v>5</v>
      </c>
      <c r="C66" s="2" t="inlineStr">
        <is>
          <t>Upper bound tested in Closure_Model</t>
        </is>
      </c>
    </row>
    <row r="67">
      <c r="A67" s="3" t="inlineStr">
        <is>
          <t>Added busing, favorable (low) case</t>
        </is>
      </c>
      <c r="B67" s="14" t="n">
        <v>75000</v>
      </c>
      <c r="C67" s="2" t="inlineStr">
        <is>
          <t>Low end of the $75K-$200K range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showGridLines="1" workbookViewId="0">
      <selection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General Fund, Three-Year Summary (audited)</t>
        </is>
      </c>
    </row>
    <row r="3">
      <c r="A3" s="17" t="inlineStr"/>
      <c r="B3" s="17" t="inlineStr">
        <is>
          <t>FY2023</t>
        </is>
      </c>
      <c r="C3" s="17" t="inlineStr">
        <is>
          <t>FY2024</t>
        </is>
      </c>
      <c r="D3" s="17" t="inlineStr">
        <is>
          <t>FY2025</t>
        </is>
      </c>
    </row>
    <row r="4">
      <c r="A4" s="3" t="inlineStr">
        <is>
          <t>Revenues before transfers</t>
        </is>
      </c>
      <c r="B4" s="18">
        <f>Assumptions!B19</f>
        <v/>
      </c>
      <c r="C4" s="18">
        <f>Assumptions!B20</f>
        <v/>
      </c>
      <c r="D4" s="18">
        <f>Assumptions!B21</f>
        <v/>
      </c>
    </row>
    <row r="5">
      <c r="A5" s="3" t="inlineStr">
        <is>
          <t>Expenditures before transfers</t>
        </is>
      </c>
      <c r="B5" s="18">
        <f>Assumptions!B22</f>
        <v/>
      </c>
      <c r="C5" s="18">
        <f>Assumptions!B23</f>
        <v/>
      </c>
      <c r="D5" s="18">
        <f>Assumptions!B24</f>
        <v/>
      </c>
    </row>
    <row r="6">
      <c r="A6" s="3" t="inlineStr">
        <is>
          <t>Operating result before transfers</t>
        </is>
      </c>
      <c r="B6" s="9">
        <f>B4-B5</f>
        <v/>
      </c>
      <c r="C6" s="9">
        <f>C4-C5</f>
        <v/>
      </c>
      <c r="D6" s="9">
        <f>D4-D5</f>
        <v/>
      </c>
    </row>
    <row r="7">
      <c r="A7" s="3" t="inlineStr">
        <is>
          <t>Net transfers &amp; other sources</t>
        </is>
      </c>
      <c r="C7" s="18">
        <f>Assumptions!B25</f>
        <v/>
      </c>
      <c r="D7" s="18">
        <f>Assumptions!B26</f>
        <v/>
      </c>
    </row>
    <row r="8">
      <c r="A8" s="3" t="inlineStr">
        <is>
          <t>Change in fund balance</t>
        </is>
      </c>
      <c r="C8" s="9">
        <f>C6+C7</f>
        <v/>
      </c>
      <c r="D8" s="9">
        <f>D6+D7</f>
        <v/>
      </c>
    </row>
    <row r="9">
      <c r="A9" s="3" t="inlineStr">
        <is>
          <t>Ending fund balance</t>
        </is>
      </c>
      <c r="B9" s="18">
        <f>Assumptions!B27</f>
        <v/>
      </c>
      <c r="C9" s="18">
        <f>Assumptions!B28</f>
        <v/>
      </c>
      <c r="D9" s="18">
        <f>Assumptions!B29</f>
        <v/>
      </c>
    </row>
    <row r="10">
      <c r="A10" s="3" t="inlineStr">
        <is>
          <t>Check vs audited balances (small residual = other audited items)</t>
        </is>
      </c>
      <c r="C10" s="9">
        <f>C9-B9-C8</f>
        <v/>
      </c>
      <c r="D10" s="9">
        <f>D9-C9-D8</f>
        <v/>
      </c>
    </row>
    <row r="12">
      <c r="A12" s="4" t="inlineStr">
        <is>
          <t>METRICS</t>
        </is>
      </c>
    </row>
    <row r="13">
      <c r="A13" s="3" t="inlineStr">
        <is>
          <t>Fund balance as % of expenditures, FY2025</t>
        </is>
      </c>
      <c r="D13" s="19">
        <f>D9/D5</f>
        <v/>
      </c>
    </row>
    <row r="14">
      <c r="A14" s="3" t="inlineStr">
        <is>
          <t>2% contingency floor (FY2025 spending)</t>
        </is>
      </c>
      <c r="D14" s="9">
        <f>Assumptions!B31*D5</f>
        <v/>
      </c>
    </row>
    <row r="15">
      <c r="A15" s="3" t="inlineStr">
        <is>
          <t>Unassigned balance above the floor</t>
        </is>
      </c>
      <c r="D15" s="9">
        <f>Assumptions!B30-D14</f>
        <v/>
      </c>
    </row>
    <row r="16">
      <c r="A16" s="3" t="inlineStr">
        <is>
          <t>Average annual drawdown (FY2024-25)</t>
        </is>
      </c>
      <c r="D16" s="9">
        <f>-AVERAGE(C8:D8)</f>
        <v/>
      </c>
    </row>
    <row r="17">
      <c r="A17" s="3" t="inlineStr">
        <is>
          <t>Years of runway at current pace</t>
        </is>
      </c>
      <c r="D17" s="20">
        <f>IFERROR(D15/D16,0)</f>
        <v/>
      </c>
    </row>
    <row r="19">
      <c r="A19" s="2" t="inlineStr">
        <is>
          <t>Source: FY2023-24 and FY2024-25 audited financial statements. FY2023 shown as reported in the FY2024 audit's comparative statement.</t>
        </is>
      </c>
    </row>
    <row r="20">
      <c r="A20" s="21" t="inlineStr">
        <is>
          <t>What the transfers are: moves between the district's own funds (indirect cost recoveries from grants and self-supporting operations, fund closeouts, and similar interfund items detailed in the audits' fund statements). They cushion the General Fund's bottom line but are not new district revenue, which is why the operating result BEFORE transfers is the honest measure of the structural deficit.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5"/>
  <sheetViews>
    <sheetView showGridLines="1" workbookViewId="0">
      <selection activeCell="A1" sqref="A1"/>
    </sheetView>
  </sheetViews>
  <sheetFormatPr baseColWidth="8" defaultRowHeight="15"/>
  <cols>
    <col width="54" customWidth="1" min="1" max="1"/>
    <col width="16" customWidth="1" min="2" max="2"/>
    <col width="46" customWidth="1" min="3" max="3"/>
  </cols>
  <sheetData>
    <row r="1">
      <c r="A1" s="1" t="inlineStr">
        <is>
          <t>Closure of NMES: Net-Savings Test</t>
        </is>
      </c>
    </row>
    <row r="2">
      <c r="A2" s="2" t="inlineStr">
        <is>
          <t>Gross site cost is not net saving; students, teachers, and their SEEK funding move to receiving schools.</t>
        </is>
      </c>
    </row>
    <row r="4">
      <c r="A4" s="4" t="inlineStr">
        <is>
          <t>THE CLAIM AND THE OFFICIAL DATA</t>
        </is>
      </c>
    </row>
    <row r="5">
      <c r="A5" s="3" t="inlineStr">
        <is>
          <t>Superintendent's stated gross cost (public statement, not yet documented)</t>
        </is>
      </c>
      <c r="B5" s="8" t="n">
        <v>1000000</v>
      </c>
      <c r="C5" s="2" t="inlineStr">
        <is>
          <t>WKYT, July 2026; treated as a claim to verify</t>
        </is>
      </c>
    </row>
    <row r="6">
      <c r="A6" s="3" t="inlineStr">
        <is>
          <t>Total site spending (state ESSA basis)</t>
        </is>
      </c>
      <c r="B6" s="18">
        <f>Assumptions!B14*Assumptions!B11</f>
        <v/>
      </c>
    </row>
    <row r="7">
      <c r="A7" s="3" t="inlineStr">
        <is>
          <t>State/local share of site spending</t>
        </is>
      </c>
      <c r="B7" s="18">
        <f>Assumptions!B15*Assumptions!B11</f>
        <v/>
      </c>
    </row>
    <row r="9">
      <c r="A9" s="4" t="inlineStr">
        <is>
          <t>RECURRING SAVINGS (costs that truly disappear)</t>
        </is>
      </c>
    </row>
    <row r="10">
      <c r="A10" s="3" t="inlineStr">
        <is>
          <t>Principal &amp; office</t>
        </is>
      </c>
      <c r="B10" s="18">
        <f>Assumptions!B51</f>
        <v/>
      </c>
    </row>
    <row r="11">
      <c r="A11" s="3" t="inlineStr">
        <is>
          <t>Plant, utilities, insurance (net of carrying cost)</t>
        </is>
      </c>
      <c r="B11" s="18">
        <f>Assumptions!B52</f>
        <v/>
      </c>
    </row>
    <row r="12">
      <c r="A12" s="3" t="inlineStr">
        <is>
          <t>Teaching positions eliminated (via attrition)</t>
        </is>
      </c>
      <c r="B12" s="18">
        <f>Assumptions!B53*Assumptions!B41</f>
        <v/>
      </c>
    </row>
    <row r="13">
      <c r="A13" s="22" t="inlineStr">
        <is>
          <t>Gross avoidable cost</t>
        </is>
      </c>
      <c r="B13" s="23">
        <f>SUM(B10:B12)</f>
        <v/>
      </c>
    </row>
    <row r="15">
      <c r="A15" s="4" t="inlineStr">
        <is>
          <t>RECURRING OFFSETS (new costs and lost revenue)</t>
        </is>
      </c>
    </row>
    <row r="16">
      <c r="A16" s="3" t="inlineStr">
        <is>
          <t>Added busing</t>
        </is>
      </c>
      <c r="B16" s="18">
        <f>Assumptions!B54</f>
        <v/>
      </c>
    </row>
    <row r="17">
      <c r="A17" s="3" t="inlineStr">
        <is>
          <t>SEEK revenue lost to departing students (FY2027 base)</t>
        </is>
      </c>
      <c r="B17" s="18">
        <f>Assumptions!B55*Assumptions!B6</f>
        <v/>
      </c>
    </row>
    <row r="18">
      <c r="A18" s="22" t="inlineStr">
        <is>
          <t>Total offsets</t>
        </is>
      </c>
      <c r="B18" s="23">
        <f>SUM(B16:B17)</f>
        <v/>
      </c>
    </row>
    <row r="20">
      <c r="A20" s="22" t="inlineStr">
        <is>
          <t>NET RECURRING GENERAL FUND SAVING</t>
        </is>
      </c>
      <c r="B20" s="24">
        <f>B13-B18</f>
        <v/>
      </c>
    </row>
    <row r="21">
      <c r="A21" s="3" t="inlineStr">
        <is>
          <t>Share of the structural deficit ($2.65M) | of the reserve drawdown ($1.15M)</t>
        </is>
      </c>
      <c r="B21" s="19">
        <f>B20/(Assumptions!B24-Assumptions!B21)</f>
        <v/>
      </c>
      <c r="C21" s="19">
        <f>B20/GF_Summary!D16</f>
        <v/>
      </c>
    </row>
    <row r="22">
      <c r="A22" s="3" t="inlineStr">
        <is>
          <t>One-time transition cost (year one)</t>
        </is>
      </c>
      <c r="B22" s="18">
        <f>Assumptions!B56</f>
        <v/>
      </c>
    </row>
    <row r="24">
      <c r="A24" s="4" t="inlineStr">
        <is>
          <t>SENSITIVITY: STUDENTS LEAVING THE DISTRICT</t>
        </is>
      </c>
    </row>
    <row r="25">
      <c r="A25" s="22" t="inlineStr">
        <is>
          <t>Students leaving</t>
        </is>
      </c>
      <c r="B25" s="22" t="inlineStr">
        <is>
          <t>Net recurring saving</t>
        </is>
      </c>
    </row>
    <row r="26">
      <c r="A26" s="10" t="n">
        <v>0</v>
      </c>
      <c r="B26" s="9">
        <f>$B$13-Assumptions!$B$54-A26*Assumptions!$B$6</f>
        <v/>
      </c>
    </row>
    <row r="27">
      <c r="A27" s="10" t="n">
        <v>10</v>
      </c>
      <c r="B27" s="9">
        <f>$B$13-Assumptions!$B$54-A27*Assumptions!$B$6</f>
        <v/>
      </c>
    </row>
    <row r="28">
      <c r="A28" s="10" t="n">
        <v>20</v>
      </c>
      <c r="B28" s="9">
        <f>$B$13-Assumptions!$B$54-A28*Assumptions!$B$6</f>
        <v/>
      </c>
    </row>
    <row r="29">
      <c r="A29" s="10" t="n">
        <v>30</v>
      </c>
      <c r="B29" s="9">
        <f>$B$13-Assumptions!$B$54-A29*Assumptions!$B$6</f>
        <v/>
      </c>
    </row>
    <row r="31">
      <c r="A31" s="2" t="inlineStr">
        <is>
          <t>Each departing student removes at least the SEEK base guarantee, every year, permanently.</t>
        </is>
      </c>
    </row>
    <row r="33">
      <c r="A33" s="4" t="inlineStr">
        <is>
          <t>DISTRICT-FAVORABLE CASE (red-team): 5 positions cut, low busing, no departures</t>
        </is>
      </c>
    </row>
    <row r="34">
      <c r="A34" s="3" t="inlineStr">
        <is>
          <t>Net recurring saving, favorable case</t>
        </is>
      </c>
      <c r="B34" s="18">
        <f>Assumptions!B51+Assumptions!B52+Assumptions!B66*Assumptions!B41-Assumptions!B67</f>
        <v/>
      </c>
    </row>
    <row r="35">
      <c r="A35" s="3" t="inlineStr">
        <is>
          <t>Share of the structural deficit ($2.65M) | of the reserve drawdown ($1.15M)</t>
        </is>
      </c>
      <c r="B35" s="19">
        <f>B34/(Assumptions!B24-Assumptions!B21)</f>
        <v/>
      </c>
      <c r="C35" s="19">
        <f>B34/GF_Summary!D16</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5"/>
  <sheetViews>
    <sheetView showGridLines="1" workbookViewId="0">
      <selection activeCell="A1" sqref="A1"/>
    </sheetView>
  </sheetViews>
  <sheetFormatPr baseColWidth="8" defaultRowHeight="15"/>
  <cols>
    <col width="50" customWidth="1" min="1" max="1"/>
    <col width="14" customWidth="1" min="2" max="2"/>
    <col width="14" customWidth="1" min="3" max="3"/>
    <col width="14" customWidth="1" min="4" max="4"/>
  </cols>
  <sheetData>
    <row r="1">
      <c r="A1" s="1" t="inlineStr">
        <is>
          <t>Grow the Kings: Nonresident Enrollment Model (HB 563 / KRS 157.350)</t>
        </is>
      </c>
    </row>
    <row r="2">
      <c r="A2" s="2" t="inlineStr">
        <is>
          <t>SEEK funding follows nonresident students since July 2022; no agreement from the home district is required.</t>
        </is>
      </c>
    </row>
    <row r="4">
      <c r="A4" s="17" t="inlineStr"/>
      <c r="B4" s="17" t="inlineStr">
        <is>
          <t>FY2027</t>
        </is>
      </c>
      <c r="C4" s="17" t="inlineStr">
        <is>
          <t>FY2028</t>
        </is>
      </c>
      <c r="D4" s="17" t="inlineStr">
        <is>
          <t>FY2029</t>
        </is>
      </c>
    </row>
    <row r="5">
      <c r="A5" s="3" t="inlineStr">
        <is>
          <t>Transfer students (scenario)</t>
        </is>
      </c>
      <c r="B5" s="25">
        <f>Assumptions!B59</f>
        <v/>
      </c>
      <c r="C5" s="25">
        <f>Assumptions!B60</f>
        <v/>
      </c>
      <c r="D5" s="25">
        <f>Assumptions!B61</f>
        <v/>
      </c>
    </row>
    <row r="6">
      <c r="A6" s="3" t="inlineStr">
        <is>
          <t>Enrolled (capped at open seats)</t>
        </is>
      </c>
      <c r="B6" s="11">
        <f>MIN(B5,Assumptions!$B$13)</f>
        <v/>
      </c>
      <c r="C6" s="11">
        <f>MIN(C5,Assumptions!$B$13)</f>
        <v/>
      </c>
      <c r="D6" s="11">
        <f>MIN(D5,Assumptions!$B$13)</f>
        <v/>
      </c>
    </row>
    <row r="7">
      <c r="A7" s="3" t="inlineStr">
        <is>
          <t>SEEK base per pupil</t>
        </is>
      </c>
      <c r="B7" s="18">
        <f>Assumptions!B6</f>
        <v/>
      </c>
      <c r="C7" s="18">
        <f>Assumptions!B7</f>
        <v/>
      </c>
      <c r="D7" s="18">
        <f>Assumptions!B8</f>
        <v/>
      </c>
    </row>
    <row r="8">
      <c r="A8" s="3" t="inlineStr">
        <is>
          <t>New SEEK revenue (base only)</t>
        </is>
      </c>
      <c r="B8" s="9">
        <f>B6*B7</f>
        <v/>
      </c>
      <c r="C8" s="9">
        <f>C6*C7</f>
        <v/>
      </c>
      <c r="D8" s="9">
        <f>D6*D7</f>
        <v/>
      </c>
    </row>
    <row r="9">
      <c r="A9" s="3" t="inlineStr">
        <is>
          <t>Variable cost of added students</t>
        </is>
      </c>
      <c r="B9" s="9">
        <f>B6*Assumptions!$B$62</f>
        <v/>
      </c>
      <c r="C9" s="9">
        <f>C6*Assumptions!$B$62</f>
        <v/>
      </c>
      <c r="D9" s="9">
        <f>D6*Assumptions!$B$62</f>
        <v/>
      </c>
    </row>
    <row r="10">
      <c r="A10" s="3" t="inlineStr">
        <is>
          <t>Added teacher (once threshold passed)</t>
        </is>
      </c>
      <c r="B10" s="9">
        <f>IF(B6&gt;Assumptions!$B$63,Assumptions!$B$41,0)</f>
        <v/>
      </c>
      <c r="C10" s="9">
        <f>IF(C6&gt;Assumptions!$B$63,Assumptions!$B$41,0)</f>
        <v/>
      </c>
      <c r="D10" s="9">
        <f>IF(D6&gt;Assumptions!$B$63,Assumptions!$B$41,0)</f>
        <v/>
      </c>
    </row>
    <row r="11">
      <c r="A11" s="22" t="inlineStr">
        <is>
          <t>Net new recurring revenue</t>
        </is>
      </c>
      <c r="B11" s="24">
        <f>B8-B9-B10</f>
        <v/>
      </c>
      <c r="C11" s="24">
        <f>C8-C9-C10</f>
        <v/>
      </c>
      <c r="D11" s="24">
        <f>D8-D9-D10</f>
        <v/>
      </c>
    </row>
    <row r="12">
      <c r="A12" s="3" t="inlineStr">
        <is>
          <t>Cumulative</t>
        </is>
      </c>
      <c r="B12" s="9">
        <f>B11</f>
        <v/>
      </c>
      <c r="C12" s="9">
        <f>B12+C11</f>
        <v/>
      </c>
      <c r="D12" s="9">
        <f>C12+D11</f>
        <v/>
      </c>
    </row>
    <row r="14">
      <c r="A14" s="21" t="inlineStr">
        <is>
          <t>Upside excluded from this model: tuition, SEEK add-on weights, preschool and day-care expansion, and in-county boundary redistricting, which fills seats with students the district already serves.</t>
        </is>
      </c>
    </row>
    <row r="15">
      <c r="A15" s="21" t="inlineStr">
        <is>
          <t>Context: NMES enrolled 160 students as recently as 2019-20 (see School_Data) - the growth targets restore recent history, they do not exceed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3"/>
  <sheetViews>
    <sheetView showGridLines="1" workbookViewId="0">
      <selection activeCell="A1" sqref="A1"/>
    </sheetView>
  </sheetViews>
  <sheetFormatPr baseColWidth="8" defaultRowHeight="15"/>
  <cols>
    <col width="56" customWidth="1" min="1" max="1"/>
    <col width="15" customWidth="1" min="2" max="2"/>
    <col width="58" customWidth="1" min="3" max="3"/>
  </cols>
  <sheetData>
    <row r="1">
      <c r="A1" s="1" t="inlineStr">
        <is>
          <t>Fill the Kings' Seats: Boundary Rebalancing and Cross-County Scenario</t>
        </is>
      </c>
    </row>
    <row r="2">
      <c r="A2" s="21" t="inlineStr">
        <is>
          <t>A planning scenario, not a routing study. The district holds the geocoded student counts and routing data a true optimization needs; releasing them is a records ask in the report.</t>
        </is>
      </c>
    </row>
    <row r="4">
      <c r="A4" s="4" t="inlineStr">
        <is>
          <t>CURRENT ELEMENTARY MAP (2024-25 counts as cited in report Sections 4 and 9)</t>
        </is>
      </c>
    </row>
    <row r="5">
      <c r="A5" s="3" t="inlineStr">
        <is>
          <t>NMES enrollment</t>
        </is>
      </c>
      <c r="B5" s="25">
        <f>Assumptions!B11</f>
        <v/>
      </c>
    </row>
    <row r="6">
      <c r="A6" s="3" t="inlineStr">
        <is>
          <t>NMES rated capacity</t>
        </is>
      </c>
      <c r="B6" s="25">
        <f>Assumptions!B12</f>
        <v/>
      </c>
    </row>
    <row r="7">
      <c r="A7" s="3" t="inlineStr">
        <is>
          <t>NMES open seats</t>
        </is>
      </c>
      <c r="B7" s="11">
        <f>B6-B5</f>
        <v/>
      </c>
    </row>
    <row r="8">
      <c r="A8" s="3" t="inlineStr">
        <is>
          <t>Bourbon Central enrollment</t>
        </is>
      </c>
      <c r="B8" s="10" t="n">
        <v>459</v>
      </c>
      <c r="C8" s="2" t="inlineStr">
        <is>
          <t>Report Section 4; confirm against current-year infinite campus counts</t>
        </is>
      </c>
    </row>
    <row r="9">
      <c r="A9" s="3" t="inlineStr">
        <is>
          <t>Cane Ridge enrollment</t>
        </is>
      </c>
      <c r="B9" s="10" t="n">
        <v>453</v>
      </c>
      <c r="C9" s="2" t="inlineStr">
        <is>
          <t>Report Section 4</t>
        </is>
      </c>
    </row>
    <row r="11">
      <c r="A11" s="4" t="inlineStr">
        <is>
          <t>SCENARIO LEVERS (yellow = judgment calls the district's data should replace)</t>
        </is>
      </c>
    </row>
    <row r="12">
      <c r="A12" s="3" t="inlineStr">
        <is>
          <t>Students rezoned to NMES from the eastern edges of the Paris-area zones</t>
        </is>
      </c>
      <c r="B12" s="16" t="n">
        <v>30</v>
      </c>
      <c r="C12" s="21" t="inlineStr">
        <is>
          <t>Chosen from families already living closer to NMES than to their assigned school; requires the geocoded counts</t>
        </is>
      </c>
    </row>
    <row r="13">
      <c r="A13" s="3" t="inlineStr">
        <is>
          <t>Cross-county transfers under HB 563 (KRS 157.350)</t>
        </is>
      </c>
      <c r="B13" s="16" t="n">
        <v>16</v>
      </c>
      <c r="C13" s="21" t="inlineStr">
        <is>
          <t>SEEK funding follows each transfer; no home-district agreement required since July 2022</t>
        </is>
      </c>
    </row>
    <row r="14">
      <c r="A14" s="3" t="inlineStr">
        <is>
          <t>NMES enrollment after</t>
        </is>
      </c>
      <c r="B14" s="11">
        <f>B5+B12+B13</f>
        <v/>
      </c>
    </row>
    <row r="15">
      <c r="A15" s="3" t="inlineStr">
        <is>
          <t>Fill check vs capacity</t>
        </is>
      </c>
      <c r="B15" s="11">
        <f>B6-B14</f>
        <v/>
      </c>
      <c r="C15" s="2" t="inlineStr">
        <is>
          <t>Zero = exactly full</t>
        </is>
      </c>
    </row>
    <row r="16">
      <c r="A16" s="3" t="inlineStr">
        <is>
          <t>Bourbon Central after (half the rezone)</t>
        </is>
      </c>
      <c r="B16" s="11">
        <f>B8-B12/2</f>
        <v/>
      </c>
    </row>
    <row r="17">
      <c r="A17" s="3" t="inlineStr">
        <is>
          <t>Cane Ridge after (half the rezone)</t>
        </is>
      </c>
      <c r="B17" s="11">
        <f>B9-B12/2</f>
        <v/>
      </c>
    </row>
    <row r="19">
      <c r="A19" s="4" t="inlineStr">
        <is>
          <t>CLASSROOMS</t>
        </is>
      </c>
    </row>
    <row r="20">
      <c r="A20" s="3" t="inlineStr">
        <is>
          <t>NMES classroom sections</t>
        </is>
      </c>
      <c r="B20" s="10" t="n">
        <v>9</v>
      </c>
      <c r="C20" s="2" t="inlineStr">
        <is>
          <t>9.41 classroom FTE, NCES; K-5 across nine homerooms</t>
        </is>
      </c>
    </row>
    <row r="21">
      <c r="A21" s="3" t="inlineStr">
        <is>
          <t>Average class size today</t>
        </is>
      </c>
      <c r="B21" s="20">
        <f>B5/B20</f>
        <v/>
      </c>
    </row>
    <row r="22">
      <c r="A22" s="3" t="inlineStr">
        <is>
          <t>Average class size at capacity</t>
        </is>
      </c>
      <c r="B22" s="20">
        <f>B14/B20</f>
        <v/>
      </c>
    </row>
    <row r="23">
      <c r="A23" s="2" t="inlineStr">
        <is>
          <t>Statutory caps (KRS 157.360): 24 in K-3, 28 in grade 4, 29 in grades 5-6. The scenario adds no NMES teachers.</t>
        </is>
      </c>
    </row>
    <row r="25">
      <c r="A25" s="4" t="inlineStr">
        <is>
          <t>RECURRING DOLLARS</t>
        </is>
      </c>
    </row>
    <row r="26">
      <c r="A26" s="3" t="inlineStr">
        <is>
          <t>New SEEK revenue from cross-county transfers (FY2027 base)</t>
        </is>
      </c>
      <c r="B26" s="18">
        <f>B13*Assumptions!B6</f>
        <v/>
      </c>
    </row>
    <row r="27">
      <c r="A27" s="3" t="inlineStr">
        <is>
          <t>Variable cost of all added students</t>
        </is>
      </c>
      <c r="B27" s="18">
        <f>(B12+B13)*Assumptions!B62</f>
        <v/>
      </c>
    </row>
    <row r="28">
      <c r="A28" s="3" t="inlineStr">
        <is>
          <t>Sections avoided or redeployed at receiving schools, low (count)</t>
        </is>
      </c>
      <c r="B28" s="16" t="n">
        <v>1</v>
      </c>
    </row>
    <row r="29">
      <c r="A29" s="3" t="inlineStr">
        <is>
          <t>Sections avoided or redeployed at receiving schools, high (count)</t>
        </is>
      </c>
      <c r="B29" s="16" t="n">
        <v>2</v>
      </c>
    </row>
    <row r="30">
      <c r="A30" s="22" t="inlineStr">
        <is>
          <t>Net recurring benefit, low</t>
        </is>
      </c>
      <c r="B30" s="24">
        <f>B26-B27+B28*Assumptions!B41</f>
        <v/>
      </c>
    </row>
    <row r="31">
      <c r="A31" s="22" t="inlineStr">
        <is>
          <t>Net recurring benefit, high</t>
        </is>
      </c>
      <c r="B31" s="23">
        <f>B26-B27+B29*Assumptions!B41</f>
        <v/>
      </c>
    </row>
    <row r="33">
      <c r="A33" s="4" t="inlineStr">
        <is>
          <t>PER-STUDENT ARITHMETIC (the number the closure argument leans on)</t>
        </is>
      </c>
    </row>
    <row r="34">
      <c r="A34" s="3" t="inlineStr">
        <is>
          <t>NMES site spending today</t>
        </is>
      </c>
      <c r="B34" s="18">
        <f>Assumptions!B14*Assumptions!B11</f>
        <v/>
      </c>
    </row>
    <row r="35">
      <c r="A35" s="3" t="inlineStr">
        <is>
          <t>Per student today</t>
        </is>
      </c>
      <c r="B35" s="18">
        <f>Assumptions!B14</f>
        <v/>
      </c>
    </row>
    <row r="36">
      <c r="A36" s="3" t="inlineStr">
        <is>
          <t>Per student at capacity (site cost plus variable cost, over 174)</t>
        </is>
      </c>
      <c r="B36" s="9">
        <f>(B34+(B12+B13)*Assumptions!B62)/B14</f>
        <v/>
      </c>
    </row>
    <row r="37">
      <c r="A37" s="3" t="inlineStr">
        <is>
          <t>Change</t>
        </is>
      </c>
      <c r="B37" s="19">
        <f>B36/B35-1</f>
        <v/>
      </c>
    </row>
    <row r="39">
      <c r="A39" s="4" t="inlineStr">
        <is>
          <t>ASSUMPTIONS THE DISTRICT'S DATA SHOULD REPLACE</t>
        </is>
      </c>
    </row>
    <row r="40">
      <c r="A40" s="21" t="inlineStr">
        <is>
          <t>Rezoned students are drawn only from homes closer to NMES than to their assigned school, so bus routes shorten or hold even; the district's routing data would settle it.</t>
        </is>
      </c>
    </row>
    <row r="41">
      <c r="A41" s="21" t="inlineStr">
        <is>
          <t>Receiving-school relief is booked only as one to two avoided or redeployed sections; grade-by-grade capacities at Bourbon Central and Cane Ridge are a records ask (report Question 3).</t>
        </is>
      </c>
    </row>
    <row r="42">
      <c r="A42" s="21" t="inlineStr">
        <is>
          <t>SEEK for rezoned in-county students is unchanged (same district); only cross-county transfers add revenue.</t>
        </is>
      </c>
    </row>
    <row r="43">
      <c r="A43" s="21" t="inlineStr">
        <is>
          <t>Per-student figures pair the latest published spending year (2023-24) with the current enrollment count; refresh when the 2024-25 spending data posts.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63"/>
  <sheetViews>
    <sheetView showGridLines="1" workbookViewId="0">
      <selection activeCell="A1" sqref="A1"/>
    </sheetView>
  </sheetViews>
  <sheetFormatPr baseColWidth="8" defaultRowHeight="15"/>
  <cols>
    <col width="58" customWidth="1" min="1" max="1"/>
    <col width="15" customWidth="1" min="2" max="2"/>
    <col width="58" customWidth="1" min="3" max="3"/>
  </cols>
  <sheetData>
    <row r="1">
      <c r="A1" s="1" t="inlineStr">
        <is>
          <t>Transportation and Geography: Density, Route Miles, and What Closure Adds</t>
        </is>
      </c>
    </row>
    <row r="2">
      <c r="A2" s="21" t="inlineStr">
        <is>
          <t>Zone geometry is official: NCES School Attendance Boundary Survey, 2015-16 collection (build/sabs_zones.json in the repository). Cost inputs remain labeled estimates; the district's annual T-1 transportation report and geocoded counts replace them.</t>
        </is>
      </c>
    </row>
    <row r="4">
      <c r="A4" s="4" t="inlineStr">
        <is>
          <t>GEOGRAPHY AND STUDENT DENSITY</t>
        </is>
      </c>
    </row>
    <row r="5">
      <c r="A5" s="3" t="inlineStr">
        <is>
          <t>Bourbon County land area (square miles)</t>
        </is>
      </c>
      <c r="B5" s="10" t="n">
        <v>290</v>
      </c>
      <c r="C5" s="2" t="inlineStr">
        <is>
          <t>U.S. Census: 289.7 land square miles</t>
        </is>
      </c>
    </row>
    <row r="6">
      <c r="A6" s="3" t="inlineStr">
        <is>
          <t>Paris city population, 2020</t>
        </is>
      </c>
      <c r="B6" s="10" t="n">
        <v>10171</v>
      </c>
      <c r="C6" s="2" t="inlineStr">
        <is>
          <t>2020 Census</t>
        </is>
      </c>
    </row>
    <row r="7">
      <c r="A7" s="3" t="inlineStr">
        <is>
          <t>Millersburg population, 2020</t>
        </is>
      </c>
      <c r="B7" s="10" t="n">
        <v>747</v>
      </c>
      <c r="C7" s="2" t="inlineStr">
        <is>
          <t>2020 Census</t>
        </is>
      </c>
    </row>
    <row r="8">
      <c r="A8" s="3" t="inlineStr">
        <is>
          <t>North Middletown population, 2020</t>
        </is>
      </c>
      <c r="B8" s="25">
        <f>Demographics!B29</f>
        <v/>
      </c>
      <c r="C8" s="2" t="inlineStr">
        <is>
          <t>Demographics tab</t>
        </is>
      </c>
    </row>
    <row r="9">
      <c r="A9" s="3" t="inlineStr">
        <is>
          <t>NMES zone share of county area</t>
        </is>
      </c>
      <c r="B9" s="13" t="n">
        <v>0.38</v>
      </c>
      <c r="C9" s="2" t="inlineStr">
        <is>
          <t>Official: NCES SABS 2015-16, NMES zone 110.3 sq mi of the 289.1 sq mi zone total</t>
        </is>
      </c>
    </row>
    <row r="10">
      <c r="A10" s="3" t="inlineStr">
        <is>
          <t>NMES zone area (sq mi)</t>
        </is>
      </c>
      <c r="B10" s="26">
        <f>B5*B9</f>
        <v/>
      </c>
    </row>
    <row r="11">
      <c r="A11" s="3" t="inlineStr">
        <is>
          <t>Paris-area zones (sq mi)</t>
        </is>
      </c>
      <c r="B11" s="26">
        <f>B5-B10</f>
        <v/>
      </c>
    </row>
    <row r="12">
      <c r="A12" s="3" t="inlineStr">
        <is>
          <t>NMES elementary students</t>
        </is>
      </c>
      <c r="B12" s="25">
        <f>Assumptions!B11</f>
        <v/>
      </c>
    </row>
    <row r="13">
      <c r="A13" s="3" t="inlineStr">
        <is>
          <t>Paris-area elementary students</t>
        </is>
      </c>
      <c r="B13" s="25">
        <f>Redistricting!B8+Redistricting!B9</f>
        <v/>
      </c>
    </row>
    <row r="14">
      <c r="A14" s="3" t="inlineStr">
        <is>
          <t>Students per square mile, NMES zone</t>
        </is>
      </c>
      <c r="B14" s="20">
        <f>B12/B10</f>
        <v/>
      </c>
    </row>
    <row r="15">
      <c r="A15" s="3" t="inlineStr">
        <is>
          <t>Students per square mile, Paris-area zones</t>
        </is>
      </c>
      <c r="B15" s="20">
        <f>B13/B11</f>
        <v/>
      </c>
    </row>
    <row r="16">
      <c r="A16" s="3" t="inlineStr">
        <is>
          <t>Students per square mile, district elementary overall</t>
        </is>
      </c>
      <c r="B16" s="20">
        <f>(B12+B13)/B5</f>
        <v/>
      </c>
    </row>
    <row r="17">
      <c r="A17" s="21" t="inlineStr">
        <is>
          <t>State law (KRS 157.370) funds transportation on transported pupils per square mile: low density earns a higher per-pupil allotment because it costs more to serve. Funding history: below the formula for two decades, restored to 90 then 100 percent (on lagged FY2023 costs) in the 2024-2026 budget, then frozen again below formula in the 2026-2028 budget.</t>
        </is>
      </c>
    </row>
    <row r="18">
      <c r="A18" s="21" t="inlineStr">
        <is>
          <t>STATE REVENUE EFFECT: with the appropriation frozen at flat dollars computed on lagged costs, the marginal state reimbursement on NEW busing miles is zero, so closure's added routes are district money. Rebalancing changes no transported-pupil count, so the add-on is unchanged; and the district is not required to transport nonresident transfer students at all (board policy decides).</t>
        </is>
      </c>
    </row>
    <row r="19">
      <c r="A19" s="4" t="inlineStr">
        <is>
          <t>WHAT CLOSURE ADDS: ROUTE-MILE ARITHMETIC (yellow = replace with district T-1 data)</t>
        </is>
      </c>
    </row>
    <row r="20">
      <c r="A20" s="3" t="inlineStr">
        <is>
          <t>Share of NMES students riding the bus</t>
        </is>
      </c>
      <c r="B20" s="15" t="n">
        <v>0.85</v>
      </c>
    </row>
    <row r="21">
      <c r="A21" s="3" t="inlineStr">
        <is>
          <t>Riders</t>
        </is>
      </c>
      <c r="B21" s="11">
        <f>ROUND(B20*B12,0)</f>
        <v/>
      </c>
    </row>
    <row r="22">
      <c r="A22" s="3" t="inlineStr">
        <is>
          <t>Rural routes serving NMES today</t>
        </is>
      </c>
      <c r="B22" s="16" t="n">
        <v>3</v>
      </c>
    </row>
    <row r="23">
      <c r="A23" s="3" t="inlineStr">
        <is>
          <t>Added distance to the Paris schools, one way (miles)</t>
        </is>
      </c>
      <c r="B23" s="10" t="n">
        <v>10</v>
      </c>
      <c r="C23" s="2" t="inlineStr">
        <is>
          <t>US 460, North Middletown to Paris</t>
        </is>
      </c>
    </row>
    <row r="24">
      <c r="A24" s="3" t="inlineStr">
        <is>
          <t>Added bus-miles per route per day (out and back, AM and PM)</t>
        </is>
      </c>
      <c r="B24" s="11">
        <f>B23*4</f>
        <v/>
      </c>
    </row>
    <row r="25">
      <c r="A25" s="3" t="inlineStr">
        <is>
          <t>School days per year</t>
        </is>
      </c>
      <c r="B25" s="16" t="n">
        <v>170</v>
      </c>
    </row>
    <row r="26">
      <c r="A26" s="3" t="inlineStr">
        <is>
          <t>Added bus-miles per year</t>
        </is>
      </c>
      <c r="B26" s="11">
        <f>B22*B24*B25</f>
        <v/>
      </c>
    </row>
    <row r="27">
      <c r="A27" s="3" t="inlineStr">
        <is>
          <t>Marginal cost per bus-mile, low</t>
        </is>
      </c>
      <c r="B27" s="27" t="n">
        <v>2.5</v>
      </c>
      <c r="C27" s="2" t="inlineStr">
        <is>
          <t>Fuel, maintenance, driver time; replace with district cost data</t>
        </is>
      </c>
    </row>
    <row r="28">
      <c r="A28" s="3" t="inlineStr">
        <is>
          <t>Marginal cost per bus-mile, high</t>
        </is>
      </c>
      <c r="B28" s="27" t="n">
        <v>4.5</v>
      </c>
    </row>
    <row r="29">
      <c r="A29" s="3" t="inlineStr">
        <is>
          <t>Added cost, mileage basis, low</t>
        </is>
      </c>
      <c r="B29" s="9">
        <f>B26*B27</f>
        <v/>
      </c>
    </row>
    <row r="30">
      <c r="A30" s="3" t="inlineStr">
        <is>
          <t>Added cost, mileage basis, high</t>
        </is>
      </c>
      <c r="B30" s="9">
        <f>B26*B28</f>
        <v/>
      </c>
    </row>
    <row r="31">
      <c r="A31" s="3" t="inlineStr">
        <is>
          <t>Additional buses if route tiers break (high case)</t>
        </is>
      </c>
      <c r="B31" s="16" t="n">
        <v>1</v>
      </c>
    </row>
    <row r="32">
      <c r="A32" s="3" t="inlineStr">
        <is>
          <t>All-in cost per additional bus-year</t>
        </is>
      </c>
      <c r="B32" s="14" t="n">
        <v>55000</v>
      </c>
    </row>
    <row r="33">
      <c r="A33" s="22" t="inlineStr">
        <is>
          <t>Bottom-up added busing cost, low</t>
        </is>
      </c>
      <c r="B33" s="24">
        <f>B29</f>
        <v/>
      </c>
    </row>
    <row r="34">
      <c r="A34" s="22" t="inlineStr">
        <is>
          <t>Bottom-up added busing cost, high</t>
        </is>
      </c>
      <c r="B34" s="23">
        <f>B30+B31*B32</f>
        <v/>
      </c>
    </row>
    <row r="35">
      <c r="A35" s="3" t="inlineStr">
        <is>
          <t>Report's planning range (Closure_Model offset basis)</t>
        </is>
      </c>
      <c r="B35" s="2" t="inlineStr">
        <is>
          <t>Between $75,000 and $200,000</t>
        </is>
      </c>
    </row>
    <row r="36">
      <c r="A36" s="21" t="inlineStr">
        <is>
          <t>The bottom-up estimate lands inside the planning range; the $137,500 midpoint used in the Closure_Model stands. Note what closure does not remove: every square mile of the eastern county stays in the coverage area, with longer rides on it, roughly 15 to 20 added minutes each way on US 460.</t>
        </is>
      </c>
    </row>
    <row r="38">
      <c r="A38" s="4" t="inlineStr">
        <is>
          <t>WHAT REBALANCING CHANGES (Redistricting tab scenario)</t>
        </is>
      </c>
    </row>
    <row r="39">
      <c r="A39" s="3" t="inlineStr">
        <is>
          <t>Students rezoned to NMES</t>
        </is>
      </c>
      <c r="B39" s="25">
        <f>Redistricting!B12</f>
        <v/>
      </c>
    </row>
    <row r="40">
      <c r="A40" s="3" t="inlineStr">
        <is>
          <t>Stem miles saved per affected route, one way</t>
        </is>
      </c>
      <c r="B40" s="16" t="n">
        <v>3</v>
      </c>
      <c r="C40" s="2" t="inlineStr">
        <is>
          <t>Rezoned families live closer to NMES than to their assigned school</t>
        </is>
      </c>
    </row>
    <row r="41">
      <c r="A41" s="3" t="inlineStr">
        <is>
          <t>Affected routes</t>
        </is>
      </c>
      <c r="B41" s="16" t="n">
        <v>2</v>
      </c>
    </row>
    <row r="42">
      <c r="A42" s="3" t="inlineStr">
        <is>
          <t>Bus-miles saved per year</t>
        </is>
      </c>
      <c r="B42" s="11">
        <f>B41*B40*4*B25</f>
        <v/>
      </c>
    </row>
    <row r="43">
      <c r="A43" s="3" t="inlineStr">
        <is>
          <t>Transport saving, low</t>
        </is>
      </c>
      <c r="B43" s="9">
        <f>B42*B27</f>
        <v/>
      </c>
    </row>
    <row r="44">
      <c r="A44" s="3" t="inlineStr">
        <is>
          <t>Transport saving, high</t>
        </is>
      </c>
      <c r="B44" s="9">
        <f>B42*B28</f>
        <v/>
      </c>
    </row>
    <row r="45">
      <c r="A45" s="2" t="inlineStr">
        <is>
          <t>Rebalancing is transport-neutral to modestly positive, the opposite sign of closure.</t>
        </is>
      </c>
    </row>
    <row r="47">
      <c r="A47" s="4" t="inlineStr">
        <is>
          <t>DISTRICT-WIDE CONTEXT</t>
        </is>
      </c>
    </row>
    <row r="48">
      <c r="A48" s="3" t="inlineStr">
        <is>
          <t>Transportation expense, FY2025</t>
        </is>
      </c>
      <c r="B48" s="18">
        <f>Assumptions!B42</f>
        <v/>
      </c>
    </row>
    <row r="49">
      <c r="A49" s="3" t="inlineStr">
        <is>
          <t>Average Daily Attendance, FY2025</t>
        </is>
      </c>
      <c r="B49" s="28" t="n">
        <v>2242.5</v>
      </c>
      <c r="C49" s="2" t="inlineStr">
        <is>
          <t>FY2025 audit</t>
        </is>
      </c>
    </row>
    <row r="50">
      <c r="A50" s="3" t="inlineStr">
        <is>
          <t>Transportation cost per student in attendance</t>
        </is>
      </c>
      <c r="B50" s="9">
        <f>B48/B49</f>
        <v/>
      </c>
    </row>
    <row r="51">
      <c r="A51" s="3" t="inlineStr">
        <is>
          <t>Optimization potential at 5 to 10 percent (Alternatives menu)</t>
        </is>
      </c>
      <c r="B51" s="18">
        <f>Assumptions!B42*Assumptions!B43</f>
        <v/>
      </c>
    </row>
    <row r="52">
      <c r="A52" s="3" t="inlineStr"/>
      <c r="B52" s="18">
        <f>Assumptions!B42*Assumptions!B44</f>
        <v/>
      </c>
    </row>
    <row r="54">
      <c r="A54" s="4" t="inlineStr">
        <is>
          <t>ACTUAL DISTANCES, COMPUTED FROM THE OFFICIAL ZONE GEOMETRY (build/zone_distances.py)</t>
        </is>
      </c>
    </row>
    <row r="55">
      <c r="A55" s="3" t="inlineStr">
        <is>
          <t>Straight-line, NMES to the Paris schools (miles)</t>
        </is>
      </c>
      <c r="B55" s="28" t="n">
        <v>8.871</v>
      </c>
      <c r="C55" s="2" t="inlineStr">
        <is>
          <t>Great-circle between the school points; unrounded so derived cells match build/zone_distances.json</t>
        </is>
      </c>
    </row>
    <row r="56">
      <c r="A56" s="3" t="inlineStr">
        <is>
          <t>Measured road distance, US 460 (miles)</t>
        </is>
      </c>
      <c r="B56" s="28" t="n">
        <v>10</v>
      </c>
      <c r="C56" s="2" t="inlineStr">
        <is>
          <t>The one pair that can be measured exactly</t>
        </is>
      </c>
    </row>
    <row r="57">
      <c r="A57" s="3" t="inlineStr">
        <is>
          <t>Implied road factor on the measured pair</t>
        </is>
      </c>
      <c r="B57" s="29">
        <f>B56/B55</f>
        <v/>
      </c>
    </row>
    <row r="58">
      <c r="A58" s="3" t="inlineStr">
        <is>
          <t>Road factor applied elsewhere (the measured US 460 pair implies 1.13)</t>
        </is>
      </c>
      <c r="B58" s="27" t="n">
        <v>1.2</v>
      </c>
    </row>
    <row r="59">
      <c r="A59" s="3" t="inlineStr">
        <is>
          <t>Area-average added distance under closure, one way, straight-line</t>
        </is>
      </c>
      <c r="B59" s="28" t="n">
        <v>3.271</v>
      </c>
      <c r="C59" s="2" t="inlineStr">
        <is>
          <t>Grid average over the official NMES zone (812 sample points); unrounded input, displays to one decimal</t>
        </is>
      </c>
    </row>
    <row r="60">
      <c r="A60" s="3" t="inlineStr">
        <is>
          <t>Area-average added distance, road</t>
        </is>
      </c>
      <c r="B60" s="20">
        <f>B59*B58</f>
        <v/>
      </c>
    </row>
    <row r="61">
      <c r="A61" s="3" t="inlineStr">
        <is>
          <t>Farthest corner of the zone, straight-line to Paris / to NMES</t>
        </is>
      </c>
      <c r="B61" s="28" t="n">
        <v>15.1</v>
      </c>
      <c r="C61" s="2" t="inlineStr">
        <is>
          <t>8.3 miles to NMES; near the Nicholas County line</t>
        </is>
      </c>
    </row>
    <row r="62">
      <c r="A62" s="3" t="inlineStr">
        <is>
          <t>Farthest corner by road: to Paris / to NMES (miles)</t>
        </is>
      </c>
      <c r="B62" s="26">
        <f>ROUND(B61*B58,0)</f>
        <v/>
      </c>
      <c r="C62" s="2" t="inlineStr">
        <is>
          <t>About 18 versus 10; the district's routing data would give exact times</t>
        </is>
      </c>
    </row>
    <row r="63">
      <c r="A63" s="3" t="inlineStr">
        <is>
          <t>Share of the zone's area closer to NMES than to Paris</t>
        </is>
      </c>
      <c r="B63" s="13" t="n">
        <v>0.78</v>
      </c>
      <c r="C63" s="2" t="inlineStr">
        <is>
          <t>Computed on the official boundary; the map's whole point in one number</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24"/>
  <sheetViews>
    <sheetView showGridLines="1" workbookViewId="0">
      <selection activeCell="A1" sqref="A1"/>
    </sheetView>
  </sheetViews>
  <sheetFormatPr baseColWidth="8" defaultRowHeight="15"/>
  <cols>
    <col width="46" customWidth="1" min="1" max="1"/>
    <col width="14" customWidth="1" min="2" max="2"/>
    <col width="14" customWidth="1" min="3" max="3"/>
    <col width="52" customWidth="1" min="4" max="4"/>
    <col width="20" customWidth="1" min="5" max="5"/>
    <col width="42" customWidth="1" min="6" max="6"/>
  </cols>
  <sheetData>
    <row r="1">
      <c r="A1" s="1" t="inlineStr">
        <is>
          <t>Revenue and Cost Alternatives (no school closed)</t>
        </is>
      </c>
    </row>
    <row r="2">
      <c r="A2" s="2" t="inlineStr">
        <is>
          <t>Type separates new recurring revenue from recurring cost reductions; confidence names what would move each line from estimate to plan.</t>
        </is>
      </c>
    </row>
    <row r="3">
      <c r="A3" s="17" t="inlineStr">
        <is>
          <t>Measure</t>
        </is>
      </c>
      <c r="B3" s="17" t="inlineStr">
        <is>
          <t>Low ($/yr)</t>
        </is>
      </c>
      <c r="C3" s="17" t="inlineStr">
        <is>
          <t>High ($/yr)</t>
        </is>
      </c>
      <c r="D3" s="17" t="inlineStr">
        <is>
          <t>Basis</t>
        </is>
      </c>
      <c r="E3" s="17" t="inlineStr">
        <is>
          <t>Type</t>
        </is>
      </c>
      <c r="F3" s="17" t="inlineStr">
        <is>
          <t>Confidence / what firms it up</t>
        </is>
      </c>
    </row>
    <row r="4">
      <c r="A4" s="3" t="inlineStr">
        <is>
          <t>4% property-tax adjustment (KRS 160.470)</t>
        </is>
      </c>
      <c r="B4" s="18">
        <f>Tax_History!B50</f>
        <v/>
      </c>
      <c r="C4" s="8" t="n">
        <v>375000</v>
      </c>
      <c r="D4" s="2" t="inlineStr">
        <is>
          <t>Low = year-one 4% option on the General Fund levied base (matches the levy analysis); high allows base growth</t>
        </is>
      </c>
      <c r="E4" s="2" t="inlineStr">
        <is>
          <t>New revenue</t>
        </is>
      </c>
      <c r="F4" s="2" t="inlineStr">
        <is>
          <t>High; board authority every August, no recall exposure</t>
        </is>
      </c>
    </row>
    <row r="5">
      <c r="A5" s="3" t="inlineStr">
        <is>
          <t>Improve delinquent-tax recovery (partial)</t>
        </is>
      </c>
      <c r="B5" s="8" t="n">
        <v>60000</v>
      </c>
      <c r="C5" s="8" t="n">
        <v>120000</v>
      </c>
      <c r="D5" s="2" t="inlineStr">
        <is>
          <t>25-50% of FY2025 delinquency of $239,126 (2.4% of certified yield)</t>
        </is>
      </c>
      <c r="E5" s="2" t="inlineStr">
        <is>
          <t>New revenue</t>
        </is>
      </c>
      <c r="F5" s="2" t="inlineStr">
        <is>
          <t>Medium; needs an aging and collection analysis</t>
        </is>
      </c>
    </row>
    <row r="6">
      <c r="A6" s="3" t="inlineStr">
        <is>
          <t>Attendance recovery (+1-2% ADA)</t>
        </is>
      </c>
      <c r="B6" s="8" t="n">
        <v>100000</v>
      </c>
      <c r="C6" s="8" t="n">
        <v>200000</v>
      </c>
      <c r="D6" s="2" t="inlineStr">
        <is>
          <t>Approx. SEEK value per 1% of ADA</t>
        </is>
      </c>
      <c r="E6" s="2" t="inlineStr">
        <is>
          <t>New revenue</t>
        </is>
      </c>
      <c r="F6" s="2" t="inlineStr">
        <is>
          <t>Medium; needs an attendance improvement plan</t>
        </is>
      </c>
    </row>
    <row r="7">
      <c r="A7" s="3" t="inlineStr">
        <is>
          <t>Attrition-based staffing alignment</t>
        </is>
      </c>
      <c r="B7" s="18">
        <f>Assumptions!B48*Assumptions!B41</f>
        <v/>
      </c>
      <c r="C7" s="8" t="n">
        <v>425000</v>
      </c>
      <c r="D7" s="2" t="inlineStr">
        <is>
          <t>Low = positions x loaded cost</t>
        </is>
      </c>
      <c r="E7" s="2" t="inlineStr">
        <is>
          <t>Cost reduction</t>
        </is>
      </c>
      <c r="F7" s="2" t="inlineStr">
        <is>
          <t>Medium; needs a position-level staffing plan</t>
        </is>
      </c>
    </row>
    <row r="8">
      <c r="A8" s="3" t="inlineStr">
        <is>
          <t>Administrative restraint</t>
        </is>
      </c>
      <c r="B8" s="18">
        <f>Assumptions!B47*(Assumptions!B46-Assumptions!B45)</f>
        <v/>
      </c>
      <c r="C8" s="8" t="n">
        <v>450000</v>
      </c>
      <c r="D8" s="2" t="inlineStr">
        <is>
          <t>Low = rollback share of 2-yr district-admin growth</t>
        </is>
      </c>
      <c r="E8" s="2" t="inlineStr">
        <is>
          <t>Cost reduction</t>
        </is>
      </c>
      <c r="F8" s="2" t="inlineStr">
        <is>
          <t>Medium; needs position- and vendor-level detail</t>
        </is>
      </c>
    </row>
    <row r="9">
      <c r="A9" s="3" t="inlineStr">
        <is>
          <t>Transportation optimization</t>
        </is>
      </c>
      <c r="B9" s="18">
        <f>Assumptions!B42*Assumptions!B43</f>
        <v/>
      </c>
      <c r="C9" s="18">
        <f>Assumptions!B42*Assumptions!B44</f>
        <v/>
      </c>
      <c r="D9" s="2" t="inlineStr">
        <is>
          <t>5-10% of FY2025 transport expense</t>
        </is>
      </c>
      <c r="E9" s="2" t="inlineStr">
        <is>
          <t>Cost reduction</t>
        </is>
      </c>
      <c r="F9" s="2" t="inlineStr">
        <is>
          <t>Medium; needs a local route model (T-1 data requested)</t>
        </is>
      </c>
    </row>
    <row r="10">
      <c r="A10" s="3" t="inlineStr">
        <is>
          <t>Medicaid billing, E-rate, meal reimbursements</t>
        </is>
      </c>
      <c r="B10" s="8" t="n">
        <v>100000</v>
      </c>
      <c r="C10" s="8" t="n">
        <v>250000</v>
      </c>
      <c r="D10" s="2" t="inlineStr">
        <is>
          <t>Typical under-collected federal reimbursements</t>
        </is>
      </c>
      <c r="E10" s="2" t="inlineStr">
        <is>
          <t>New revenue</t>
        </is>
      </c>
      <c r="F10" s="2" t="inlineStr">
        <is>
          <t>Low; needs evidence current claims are being missed</t>
        </is>
      </c>
    </row>
    <row r="11">
      <c r="A11" s="3" t="inlineStr">
        <is>
          <t>Energy performance contracting</t>
        </is>
      </c>
      <c r="B11" s="8" t="n">
        <v>50000</v>
      </c>
      <c r="C11" s="8" t="n">
        <v>150000</v>
      </c>
      <c r="D11" s="2" t="inlineStr">
        <is>
          <t>10-25% of utilities; authorized by 702 KAR 4:160</t>
        </is>
      </c>
      <c r="E11" s="2" t="inlineStr">
        <is>
          <t>Cost reduction</t>
        </is>
      </c>
      <c r="F11" s="2" t="inlineStr">
        <is>
          <t>Medium; contracts are structured to self-fund</t>
        </is>
      </c>
    </row>
    <row r="12">
      <c r="A12" s="3" t="inlineStr">
        <is>
          <t>Shared services with Paris Independent</t>
        </is>
      </c>
      <c r="B12" s="8" t="n">
        <v>100000</v>
      </c>
      <c r="C12" s="8" t="n">
        <v>300000</v>
      </c>
      <c r="D12" s="2" t="inlineStr">
        <is>
          <t>Transport, food service, back office</t>
        </is>
      </c>
      <c r="E12" s="2" t="inlineStr">
        <is>
          <t>Cost reduction</t>
        </is>
      </c>
      <c r="F12" s="2" t="inlineStr">
        <is>
          <t>Low; needs an interlocal feasibility study</t>
        </is>
      </c>
    </row>
    <row r="13">
      <c r="A13" s="3" t="inlineStr">
        <is>
          <t>Fill NMES to capacity (rebalance + transfers, net)</t>
        </is>
      </c>
      <c r="B13" s="18">
        <f>Redistricting!B30</f>
        <v/>
      </c>
      <c r="C13" s="18">
        <f>Redistricting!B31</f>
        <v/>
      </c>
      <c r="D13" s="2" t="inlineStr">
        <is>
          <t>Boundary rebalancing and cross-county scenario, Redistricting tab</t>
        </is>
      </c>
      <c r="E13" s="2" t="inlineStr">
        <is>
          <t>New revenue, net of costs</t>
        </is>
      </c>
      <c r="F13" s="2" t="inlineStr">
        <is>
          <t>High; board boundary authority, math on Redistricting tab</t>
        </is>
      </c>
    </row>
    <row r="14">
      <c r="A14" s="22" t="inlineStr">
        <is>
          <t>Total identified (ranges overlap; not additive to the penny)</t>
        </is>
      </c>
      <c r="B14" s="24">
        <f>SUM(B4:B13)</f>
        <v/>
      </c>
      <c r="C14" s="24">
        <f>SUM(C4:C13)</f>
        <v/>
      </c>
    </row>
    <row r="16">
      <c r="A16" s="4" t="inlineStr">
        <is>
          <t>COMPARISON</t>
        </is>
      </c>
    </row>
    <row r="17">
      <c r="A17" s="3" t="inlineStr">
        <is>
          <t>Package midpoint (raw sum of ranges)</t>
        </is>
      </c>
      <c r="B17" s="9">
        <f>(B14+C14)/2</f>
        <v/>
      </c>
    </row>
    <row r="18">
      <c r="A18" s="3" t="inlineStr">
        <is>
          <t>Conservative combined estimate, low (haircut for overlap)</t>
        </is>
      </c>
      <c r="B18" s="14" t="n">
        <v>1100000</v>
      </c>
    </row>
    <row r="19">
      <c r="A19" s="3" t="inlineStr">
        <is>
          <t>Conservative combined estimate, high</t>
        </is>
      </c>
      <c r="B19" s="14" t="n">
        <v>2100000</v>
      </c>
    </row>
    <row r="20">
      <c r="A20" s="3" t="inlineStr">
        <is>
          <t>Conservative midpoint (used in Runway sheet)</t>
        </is>
      </c>
      <c r="B20" s="9">
        <f>(B18+B19)/2</f>
        <v/>
      </c>
    </row>
    <row r="21">
      <c r="A21" s="3" t="inlineStr">
        <is>
          <t>Average annual GF drawdown (FY2024-25)</t>
        </is>
      </c>
      <c r="B21" s="18">
        <f>GF_Summary!D16</f>
        <v/>
      </c>
    </row>
    <row r="22">
      <c r="A22" s="3" t="inlineStr">
        <is>
          <t>Closure net saving (base case)</t>
        </is>
      </c>
      <c r="B22" s="18">
        <f>Closure_Model!B20</f>
        <v/>
      </c>
    </row>
    <row r="24">
      <c r="A24" s="21" t="inlineStr">
        <is>
          <t>Reading: raw row sums run about $1.6M to $2.8M; the published $1.1M to $2.1M band applies a conservative haircut for overlap and implementation risk. Coverage is reported against both yardsticks: the $2.65M structural gap before transfers and the roughly $1.15M net drawdown after transfers (Closure_Model rows 21 and 35 carry both for closure).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8"/>
  <sheetViews>
    <sheetView showGridLines="1" workbookViewId="0">
      <selection activeCell="A1" sqref="A1"/>
    </sheetView>
  </sheetViews>
  <sheetFormatPr baseColWidth="8" defaultRowHeight="15"/>
  <cols>
    <col width="16" customWidth="1" min="1" max="1"/>
    <col width="16" customWidth="1" min="2" max="2"/>
    <col width="14" customWidth="1" min="3" max="3"/>
    <col width="12" customWidth="1" min="4" max="4"/>
    <col width="18" customWidth="1" min="5" max="5"/>
    <col width="44" customWidth="1" min="6" max="6"/>
  </cols>
  <sheetData>
    <row r="1">
      <c r="A1" s="1" t="inlineStr">
        <is>
          <t>Outstanding Bonds: Bourbon County School District Finance Corporation</t>
        </is>
      </c>
    </row>
    <row r="2">
      <c r="A2" s="2" t="inlineStr">
        <is>
          <t>Source: FY2025 audited financial statements, Note 4. Facility funds and debt are restricted; they cannot pay operating costs.</t>
        </is>
      </c>
    </row>
    <row r="4">
      <c r="A4" s="17" t="inlineStr">
        <is>
          <t>Series</t>
        </is>
      </c>
      <c r="B4" s="17" t="inlineStr">
        <is>
          <t>Original</t>
        </is>
      </c>
      <c r="C4" s="17" t="inlineStr">
        <is>
          <t>Rate</t>
        </is>
      </c>
      <c r="D4" s="17" t="inlineStr">
        <is>
          <t>Maturity</t>
        </is>
      </c>
      <c r="E4" s="17" t="inlineStr">
        <is>
          <t>Outstanding 6/30/25</t>
        </is>
      </c>
      <c r="F4" s="17" t="inlineStr">
        <is>
          <t>Note</t>
        </is>
      </c>
    </row>
    <row r="5">
      <c r="A5" s="3" t="inlineStr">
        <is>
          <t>2013</t>
        </is>
      </c>
      <c r="B5" s="8" t="n">
        <v>2255000</v>
      </c>
      <c r="C5" s="3" t="inlineStr">
        <is>
          <t>1.90-2.10%</t>
        </is>
      </c>
      <c r="D5" s="3" t="inlineStr">
        <is>
          <t>2026</t>
        </is>
      </c>
      <c r="E5" s="8" t="n">
        <v>348000</v>
      </c>
      <c r="F5" s="21" t="inlineStr"/>
    </row>
    <row r="6">
      <c r="A6" s="3" t="inlineStr">
        <is>
          <t>2013R</t>
        </is>
      </c>
      <c r="B6" s="8" t="n">
        <v>468000</v>
      </c>
      <c r="C6" s="3" t="inlineStr">
        <is>
          <t>2.75-4.05%</t>
        </is>
      </c>
      <c r="D6" s="3" t="inlineStr">
        <is>
          <t>2033</t>
        </is>
      </c>
      <c r="E6" s="8" t="n">
        <v>585000</v>
      </c>
      <c r="F6" s="21" t="inlineStr">
        <is>
          <t>Audit figures internally inconsistent; maturity typo in audit; district to correct</t>
        </is>
      </c>
    </row>
    <row r="7">
      <c r="A7" s="3" t="inlineStr">
        <is>
          <t>2016</t>
        </is>
      </c>
      <c r="B7" s="8" t="n">
        <v>5700000</v>
      </c>
      <c r="C7" s="3" t="inlineStr">
        <is>
          <t>1.00-3.00%</t>
        </is>
      </c>
      <c r="D7" s="3" t="inlineStr">
        <is>
          <t>2029</t>
        </is>
      </c>
      <c r="E7" s="8" t="n">
        <v>3145000</v>
      </c>
      <c r="F7" s="21" t="inlineStr">
        <is>
          <t>Refunded $5,315,000 of 2009 bonds; NPV savings $314,834</t>
        </is>
      </c>
    </row>
    <row r="8">
      <c r="A8" s="3" t="inlineStr">
        <is>
          <t>2018</t>
        </is>
      </c>
      <c r="B8" s="8" t="n">
        <v>1850000</v>
      </c>
      <c r="C8" s="3" t="inlineStr">
        <is>
          <t>3.50%</t>
        </is>
      </c>
      <c r="D8" s="3" t="inlineStr">
        <is>
          <t>2038</t>
        </is>
      </c>
      <c r="E8" s="8" t="n">
        <v>1560000</v>
      </c>
      <c r="F8" s="21" t="inlineStr"/>
    </row>
    <row r="9">
      <c r="A9" s="3" t="inlineStr">
        <is>
          <t>2020</t>
        </is>
      </c>
      <c r="B9" s="8" t="n">
        <v>3620000</v>
      </c>
      <c r="C9" s="3" t="inlineStr">
        <is>
          <t>0.50-1.85%</t>
        </is>
      </c>
      <c r="D9" s="3" t="inlineStr">
        <is>
          <t>2031</t>
        </is>
      </c>
      <c r="E9" s="8" t="n">
        <v>3405000</v>
      </c>
      <c r="F9" s="21" t="inlineStr">
        <is>
          <t>Refunded $3,410,000 of 2011 bonds; NPV savings $106,627</t>
        </is>
      </c>
    </row>
    <row r="10">
      <c r="A10" s="3" t="inlineStr">
        <is>
          <t>2023</t>
        </is>
      </c>
      <c r="B10" s="8" t="n">
        <v>810000</v>
      </c>
      <c r="C10" s="3" t="inlineStr">
        <is>
          <t>3.65-4.00%</t>
        </is>
      </c>
      <c r="D10" s="3" t="inlineStr">
        <is>
          <t>2034</t>
        </is>
      </c>
      <c r="E10" s="8" t="n">
        <v>755000</v>
      </c>
      <c r="F10" s="21" t="inlineStr">
        <is>
          <t>Purpose to be confirmed from official statement</t>
        </is>
      </c>
    </row>
    <row r="11">
      <c r="A11" s="3" t="inlineStr">
        <is>
          <t>2024</t>
        </is>
      </c>
      <c r="B11" s="8" t="n">
        <v>6055000</v>
      </c>
      <c r="C11" s="3" t="inlineStr">
        <is>
          <t>4.00-5.00%</t>
        </is>
      </c>
      <c r="D11" s="3" t="inlineStr">
        <is>
          <t>2044</t>
        </is>
      </c>
      <c r="E11" s="8" t="n">
        <v>5945290</v>
      </c>
      <c r="F11" s="21" t="inlineStr">
        <is>
          <t>Funds active construction program; purpose to be published</t>
        </is>
      </c>
    </row>
    <row r="12">
      <c r="A12" s="22" t="inlineStr">
        <is>
          <t>Total</t>
        </is>
      </c>
      <c r="B12" s="24">
        <f>SUM(B5:B11)</f>
        <v/>
      </c>
      <c r="E12" s="24">
        <f>SUM(E5:E11)</f>
        <v/>
      </c>
    </row>
    <row r="14">
      <c r="A14" s="4" t="inlineStr">
        <is>
          <t>ANNUAL DEBT SERVICE</t>
        </is>
      </c>
    </row>
    <row r="15">
      <c r="A15" s="3" t="inlineStr">
        <is>
          <t>District-paid, FY2025</t>
        </is>
      </c>
      <c r="B15" s="8" t="n">
        <v>1150216</v>
      </c>
    </row>
    <row r="16">
      <c r="A16" s="3" t="inlineStr">
        <is>
          <t>District-paid, FY2026</t>
        </is>
      </c>
      <c r="B16" s="8" t="n">
        <v>1578700</v>
      </c>
    </row>
    <row r="17">
      <c r="A17" s="3" t="inlineStr">
        <is>
          <t>Increase, FY2025 to FY2026</t>
        </is>
      </c>
      <c r="B17" s="9">
        <f>B16-B15</f>
        <v/>
      </c>
    </row>
    <row r="18">
      <c r="A18" s="3" t="inlineStr">
        <is>
          <t>FY2026 total including state (SFCC) share</t>
        </is>
      </c>
      <c r="B18" s="8" t="n">
        <v>1846159</v>
      </c>
    </row>
    <row r="19">
      <c r="A19" s="3" t="inlineStr">
        <is>
          <t>SFCC-paid principal over life of bonds</t>
        </is>
      </c>
      <c r="B19" s="8" t="n">
        <v>1568809</v>
      </c>
    </row>
    <row r="21">
      <c r="A21" s="4" t="inlineStr">
        <is>
          <t>BONDING CAPACITY: WHAT CLOSURE CAN AND CANNOT CHANGE</t>
        </is>
      </c>
    </row>
    <row r="22">
      <c r="A22" s="3" t="inlineStr">
        <is>
          <t>Average Daily Attendance, FY2025 (SEEK basis)</t>
        </is>
      </c>
      <c r="B22" s="28" t="n">
        <v>2242.5</v>
      </c>
      <c r="F22" s="2" t="inlineStr">
        <is>
          <t>FY2025 audit</t>
        </is>
      </c>
    </row>
    <row r="23">
      <c r="A23" s="3" t="inlineStr">
        <is>
          <t>Capital outlay allotment per year (KRS 157.420, $100 per ADA)</t>
        </is>
      </c>
      <c r="B23" s="9">
        <f>100*B22</f>
        <v/>
      </c>
    </row>
    <row r="24">
      <c r="A24" s="3" t="inlineStr">
        <is>
          <t>Bondable share of capital outlay (702 KAR 4:160 safety factor)</t>
        </is>
      </c>
      <c r="B24" s="13" t="n">
        <v>0.8</v>
      </c>
    </row>
    <row r="25">
      <c r="A25" s="3" t="inlineStr">
        <is>
          <t>Building-fund and debt-fund property tax, FY2025 (the 'nickel' stream)</t>
        </is>
      </c>
      <c r="B25" s="18">
        <f>Tax_History!B33</f>
        <v/>
      </c>
    </row>
    <row r="26">
      <c r="A26" s="3" t="inlineStr">
        <is>
          <t>District-paid debt service, FY2026</t>
        </is>
      </c>
      <c r="B26" s="8" t="n">
        <v>1578700</v>
      </c>
    </row>
    <row r="27">
      <c r="A27" s="3" t="inlineStr">
        <is>
          <t>Annual restricted margin available for new debt (illustrative)</t>
        </is>
      </c>
      <c r="B27" s="30">
        <f>B23*B24+B25-B26</f>
        <v/>
      </c>
      <c r="F27" s="21" t="inlineStr">
        <is>
          <t>Simplified: KDE's official bonding potential statement is the authority and should be published</t>
        </is>
      </c>
    </row>
    <row r="28">
      <c r="A28" s="3" t="inlineStr">
        <is>
          <t>Unused bonding capacity stated in the FY2024 audit</t>
        </is>
      </c>
      <c r="B28" s="8" t="n">
        <v>23500000</v>
      </c>
      <c r="F28" s="2" t="inlineStr">
        <is>
          <t>FY2024 audit note</t>
        </is>
      </c>
    </row>
    <row r="30">
      <c r="A30" s="2" t="inlineStr">
        <is>
          <t>Why closing NMES does not create bonding capacity: capacity is built from the streams above, none of which</t>
        </is>
      </c>
    </row>
    <row r="31">
      <c r="A31" s="2" t="inlineStr">
        <is>
          <t>grows when a school closes. Each student who leaves the district subtracts $100 per year from capital outlay</t>
        </is>
      </c>
    </row>
    <row r="32">
      <c r="A32" s="2" t="inlineStr">
        <is>
          <t>and the SEEK base from operations. Sale proceeds are one-time and restricted to capital use. What a closure</t>
        </is>
      </c>
    </row>
    <row r="33">
      <c r="A33" s="2" t="inlineStr">
        <is>
          <t>changes is the facility plan's priority list, which steers SFCC offers (KRS 157.622) toward other projects.</t>
        </is>
      </c>
    </row>
    <row r="34">
      <c r="A34" s="2" t="inlineStr">
        <is>
          <t>That is a choice about priorities, not a gain in capacity, and it should be argued openly with the BG-1,</t>
        </is>
      </c>
    </row>
    <row r="35">
      <c r="A35" s="2" t="inlineStr">
        <is>
          <t>the official statement, and the bonding potential statement all public.</t>
        </is>
      </c>
    </row>
    <row r="37">
      <c r="A37" s="4" t="inlineStr">
        <is>
          <t>THE $14 MILLION PLAN (JULY 15, 2026 PLANNING COMMITTEE)</t>
        </is>
      </c>
    </row>
    <row r="38">
      <c r="A38" s="2" t="inlineStr">
        <is>
          <t>Stated plan: free up $800,000 to $1,000,000 a year of operating money to bond $14 million</t>
        </is>
      </c>
    </row>
    <row r="39">
      <c r="A39" s="3" t="inlineStr">
        <is>
          <t>Proposed bond amount</t>
        </is>
      </c>
      <c r="B39" s="8" t="n">
        <v>14000000</v>
      </c>
    </row>
    <row r="40">
      <c r="A40" s="3" t="inlineStr">
        <is>
          <t>Assumed interest rate</t>
        </is>
      </c>
      <c r="B40" s="13" t="n">
        <v>0.045</v>
      </c>
    </row>
    <row r="41">
      <c r="A41" s="3" t="inlineStr">
        <is>
          <t>Assumed term, years</t>
        </is>
      </c>
      <c r="B41" s="31" t="n">
        <v>20</v>
      </c>
    </row>
    <row r="42">
      <c r="A42" s="3" t="inlineStr">
        <is>
          <t>Annual debt service on the proposed bond</t>
        </is>
      </c>
      <c r="B42" s="30">
        <f>B39*B40/(1-(1+B40)^-B41)</f>
        <v/>
      </c>
      <c r="F42" s="21" t="inlineStr">
        <is>
          <t>Payment is approximately the operating amount the plan frees up; compare the savings scenarios below</t>
        </is>
      </c>
    </row>
    <row r="44">
      <c r="A44" s="4" t="inlineStr">
        <is>
          <t>WHAT EACH SAVINGS ESTIMATE COULD ACTUALLY BOND</t>
        </is>
      </c>
    </row>
    <row r="45">
      <c r="A45" s="2" t="inlineStr">
        <is>
          <t>Bond principal supported = annual savings x present-value annuity factor at the rate and term above</t>
        </is>
      </c>
    </row>
    <row r="46">
      <c r="A46" s="3" t="inlineStr">
        <is>
          <t>District's own KDE-filed excess cost of NMES vs peer elementaries</t>
        </is>
      </c>
      <c r="B46" s="8" t="n">
        <v>121220</v>
      </c>
      <c r="C46" s="9">
        <f>B46*(1-(1+B$40)^-B$41)/B$40</f>
        <v/>
      </c>
      <c r="F46" s="21" t="inlineStr">
        <is>
          <t>Matches the closure model's worst case</t>
        </is>
      </c>
    </row>
    <row r="47">
      <c r="A47" s="3" t="inlineStr">
        <is>
          <t>Closure model default net saving</t>
        </is>
      </c>
      <c r="B47" s="8" t="n">
        <v>361240</v>
      </c>
      <c r="C47" s="9">
        <f>B47*(1-(1+B$40)^-B$41)/B$40</f>
        <v/>
      </c>
      <c r="F47" s="21" t="inlineStr">
        <is>
          <t>Closure_Model tab</t>
        </is>
      </c>
    </row>
    <row r="48">
      <c r="A48" s="3" t="inlineStr">
        <is>
          <t>Closure model best case</t>
        </is>
      </c>
      <c r="B48" s="8" t="n">
        <v>725000</v>
      </c>
      <c r="C48" s="9">
        <f>B48*(1-(1+B$40)^-B$41)/B$40</f>
        <v/>
      </c>
      <c r="F48" s="21" t="inlineStr">
        <is>
          <t>Closure_Model tab</t>
        </is>
      </c>
    </row>
    <row r="49">
      <c r="A49" s="3" t="inlineStr">
        <is>
          <t>Administration's claim, July 15, 2026</t>
        </is>
      </c>
      <c r="B49" s="8" t="n">
        <v>900000</v>
      </c>
      <c r="C49" s="9">
        <f>B49*(1-(1+B$40)^-B$41)/B$40</f>
        <v/>
      </c>
      <c r="F49" s="21" t="inlineStr">
        <is>
          <t>Unpublished derivation; reconcile with KDE-filed school-level spending</t>
        </is>
      </c>
    </row>
    <row r="50">
      <c r="A50" s="2" t="inlineStr">
        <is>
          <t>Only the administration's own number reaches $14 million. The audited excess cost supports about $1.6 million.</t>
        </is>
      </c>
    </row>
    <row r="52">
      <c r="A52" s="4" t="inlineStr">
        <is>
          <t>DISTRICT-PAID DEBT SERVICE SCHEDULE (FY2025 AUDIT, NOTE 4)</t>
        </is>
      </c>
    </row>
    <row r="53">
      <c r="A53" s="2" t="inlineStr">
        <is>
          <t>Payments fall as the 2013, 2016, and 2020 series retire; this falling schedule is the room a wrap-around structure fills</t>
        </is>
      </c>
    </row>
    <row r="54">
      <c r="A54" s="3" t="inlineStr">
        <is>
          <t>FY2026</t>
        </is>
      </c>
      <c r="B54" s="8" t="n">
        <v>1578700</v>
      </c>
    </row>
    <row r="55">
      <c r="A55" s="3" t="inlineStr">
        <is>
          <t>FY2027</t>
        </is>
      </c>
      <c r="B55" s="8" t="n">
        <v>1575060</v>
      </c>
    </row>
    <row r="56">
      <c r="A56" s="3" t="inlineStr">
        <is>
          <t>FY2028</t>
        </is>
      </c>
      <c r="B56" s="8" t="n">
        <v>1578719</v>
      </c>
    </row>
    <row r="57">
      <c r="A57" s="3" t="inlineStr">
        <is>
          <t>FY2029</t>
        </is>
      </c>
      <c r="B57" s="8" t="n">
        <v>1577258</v>
      </c>
    </row>
    <row r="58">
      <c r="A58" s="3" t="inlineStr">
        <is>
          <t>FY2030</t>
        </is>
      </c>
      <c r="B58" s="8" t="n">
        <v>1578340</v>
      </c>
    </row>
    <row r="59">
      <c r="A59" s="3" t="inlineStr">
        <is>
          <t>FY2031-35 average</t>
        </is>
      </c>
      <c r="B59" s="8" t="n">
        <v>1321112</v>
      </c>
    </row>
    <row r="60">
      <c r="A60" s="3" t="inlineStr">
        <is>
          <t>FY2036-40 average</t>
        </is>
      </c>
      <c r="B60" s="8" t="n">
        <v>398915</v>
      </c>
    </row>
    <row r="61">
      <c r="A61" s="3" t="inlineStr">
        <is>
          <t>FY2041-45 average</t>
        </is>
      </c>
      <c r="B61" s="8" t="n">
        <v>260708</v>
      </c>
    </row>
    <row r="63">
      <c r="A63" s="4" t="inlineStr">
        <is>
          <t>THE LEVERS THAT DO NOT CLOSE A SCHOOL</t>
        </is>
      </c>
    </row>
    <row r="64">
      <c r="A64" s="3" t="inlineStr">
        <is>
          <t>Remaining restricted capacity (FY2024 audit $23.5M less local share of the 2024 issue, approximate)</t>
        </is>
      </c>
      <c r="B64" s="8" t="n">
        <v>17600000</v>
      </c>
      <c r="F64" s="21" t="inlineStr">
        <is>
          <t>Exact figure is the fiscal agent's bonding potential statement; demand it</t>
        </is>
      </c>
    </row>
    <row r="65">
      <c r="A65" s="3" t="inlineStr">
        <is>
          <t>Certified real and personal property assessment, FY2025</t>
        </is>
      </c>
      <c r="B65" s="8" t="n">
        <v>1843569625</v>
      </c>
    </row>
    <row r="66">
      <c r="A66" s="3" t="inlineStr">
        <is>
          <t>Recallable nickel yield per year (5 cents per $100)</t>
        </is>
      </c>
      <c r="B66" s="9">
        <f>B65*0.0005</f>
        <v/>
      </c>
    </row>
    <row r="67">
      <c r="A67" s="3" t="inlineStr">
        <is>
          <t>Bonds a nickel supports before state FSPK equalization</t>
        </is>
      </c>
      <c r="B67" s="9">
        <f>B66*(1-(1+B40)^-B41)/B40</f>
        <v/>
      </c>
      <c r="F67" s="21" t="inlineStr">
        <is>
          <t>FSPK equalization adds state dollars on top; KDE's tables set the amount</t>
        </is>
      </c>
    </row>
    <row r="68">
      <c r="A68" s="3" t="inlineStr">
        <is>
          <t>SFCC offers of assistance, typical cycle</t>
        </is>
      </c>
      <c r="B68" s="8" t="n">
        <v>1750000</v>
      </c>
      <c r="F68" s="21" t="inlineStr">
        <is>
          <t>State already pays $1,568,809 of current principal</t>
        </is>
      </c>
    </row>
    <row r="70">
      <c r="A70" s="4" t="inlineStr">
        <is>
          <t>FY2026 YEAR-END, DISTRICT'S OWN KDE BUDGET MONITORING TOOL (UNAUDITED)</t>
        </is>
      </c>
    </row>
    <row r="71">
      <c r="A71" s="2" t="inlineStr">
        <is>
          <t>June 2026 financial packet, board agenda July 16, 2026; MUNIS run July 15, 2026. Audit will finalize these figures.</t>
        </is>
      </c>
    </row>
    <row r="72">
      <c r="A72" s="3" t="inlineStr">
        <is>
          <t>General Fund revenue, FY2026 actual (excludes carryforward and on-behalf)</t>
        </is>
      </c>
      <c r="B72" s="8" t="n">
        <v>22103877</v>
      </c>
    </row>
    <row r="73">
      <c r="A73" s="3" t="inlineStr">
        <is>
          <t>General Fund expenditures, FY2026 actual</t>
        </is>
      </c>
      <c r="B73" s="8" t="n">
        <v>22477866</v>
      </c>
    </row>
    <row r="74">
      <c r="A74" s="3" t="inlineStr">
        <is>
          <t>Net General Fund change, FY2026 (unaudited)</t>
        </is>
      </c>
      <c r="B74" s="30">
        <f>B72-B73</f>
        <v/>
      </c>
      <c r="F74" s="21" t="inlineStr">
        <is>
          <t>Compare net changes of -$1,065,657 in FY2024 and -$1,225,465 in FY2025 (audited)</t>
        </is>
      </c>
    </row>
    <row r="75">
      <c r="A75" s="3" t="inlineStr">
        <is>
          <t>Revenues over budget per the monitoring tool</t>
        </is>
      </c>
      <c r="B75" s="8" t="n">
        <v>2225835</v>
      </c>
    </row>
    <row r="76">
      <c r="A76" s="3" t="inlineStr">
        <is>
          <t>Salaries under budget per the monitoring tool</t>
        </is>
      </c>
      <c r="B76" s="8" t="n">
        <v>587592</v>
      </c>
    </row>
    <row r="77">
      <c r="A77" s="3" t="inlineStr">
        <is>
          <t>Salaries below FY2025 actuals</t>
        </is>
      </c>
      <c r="B77" s="8" t="n">
        <v>223974</v>
      </c>
    </row>
    <row r="78">
      <c r="A78" s="3" t="inlineStr">
        <is>
          <t>Caveat: miscellaneous revenue budgeted at zero, received</t>
        </is>
      </c>
      <c r="B78" s="8" t="n">
        <v>1567829</v>
      </c>
      <c r="F78" s="21" t="inlineStr">
        <is>
          <t>If one-time, the underlying gap is about $1.9 million; the district should identify this receipt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0"/>
  <sheetViews>
    <sheetView showGridLines="1"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s>
  <sheetData>
    <row r="1">
      <c r="A1" s="1" t="inlineStr">
        <is>
          <t>Reserve Runway: Where the Fund Balance Goes Under Each Path</t>
        </is>
      </c>
    </row>
    <row r="2">
      <c r="A2" s="2" t="inlineStr">
        <is>
          <t>Simplified straight-line projection from the FY2025 ending balance; excludes raises, inflation, and one-time items.</t>
        </is>
      </c>
    </row>
    <row r="4">
      <c r="A4" s="17" t="inlineStr">
        <is>
          <t>Projected ending General Fund balance</t>
        </is>
      </c>
      <c r="B4" s="17" t="inlineStr">
        <is>
          <t>FY2026</t>
        </is>
      </c>
      <c r="C4" s="17" t="inlineStr">
        <is>
          <t>FY2027</t>
        </is>
      </c>
      <c r="D4" s="17" t="inlineStr">
        <is>
          <t>FY2028</t>
        </is>
      </c>
      <c r="E4" s="17" t="inlineStr">
        <is>
          <t>FY2029</t>
        </is>
      </c>
    </row>
    <row r="5">
      <c r="A5" s="3" t="inlineStr">
        <is>
          <t>Status quo (current drawdown continues)</t>
        </is>
      </c>
      <c r="B5" s="9">
        <f>GF_Summary!D9-GF_Summary!$D$16</f>
        <v/>
      </c>
      <c r="C5" s="9">
        <f>B5-GF_Summary!$D$16</f>
        <v/>
      </c>
      <c r="D5" s="9">
        <f>C5-GF_Summary!$D$16</f>
        <v/>
      </c>
      <c r="E5" s="9">
        <f>D5-GF_Summary!$D$16</f>
        <v/>
      </c>
    </row>
    <row r="6">
      <c r="A6" s="3" t="inlineStr">
        <is>
          <t>With alternatives package (conservative midpoint; half effect FY2027, full after)</t>
        </is>
      </c>
      <c r="B6" s="9">
        <f>GF_Summary!D9-GF_Summary!$D$16</f>
        <v/>
      </c>
      <c r="C6" s="9">
        <f>B6-GF_Summary!$D$16+0.5*Alternatives!$B$21</f>
        <v/>
      </c>
      <c r="D6" s="9">
        <f>C6-GF_Summary!$D$16+Alternatives!$B$21</f>
        <v/>
      </c>
      <c r="E6" s="9">
        <f>D6-GF_Summary!$D$16+Alternatives!$B$21</f>
        <v/>
      </c>
    </row>
    <row r="7">
      <c r="A7" s="3" t="inlineStr">
        <is>
          <t>Closure only (base-case net saving from FY2027)</t>
        </is>
      </c>
      <c r="B7" s="9">
        <f>GF_Summary!D9-GF_Summary!$D$16</f>
        <v/>
      </c>
      <c r="C7" s="9">
        <f>B7-GF_Summary!$D$16+Closure_Model!$B$20</f>
        <v/>
      </c>
      <c r="D7" s="9">
        <f>C7-GF_Summary!$D$16+Closure_Model!$B$20</f>
        <v/>
      </c>
      <c r="E7" s="9">
        <f>D7-GF_Summary!$D$16+Closure_Model!$B$20</f>
        <v/>
      </c>
    </row>
    <row r="8">
      <c r="A8" s="3" t="inlineStr">
        <is>
          <t>2% contingency floor (approx., FY2025 basis)</t>
        </is>
      </c>
      <c r="B8" s="18">
        <f>GF_Summary!$D$14</f>
        <v/>
      </c>
      <c r="C8" s="18">
        <f>GF_Summary!$D$14</f>
        <v/>
      </c>
      <c r="D8" s="18">
        <f>GF_Summary!$D$14</f>
        <v/>
      </c>
      <c r="E8" s="18">
        <f>GF_Summary!$D$14</f>
        <v/>
      </c>
    </row>
    <row r="10">
      <c r="A10" s="21" t="inlineStr">
        <is>
          <t>Reading: the alternatives package restores balance faster than closure, keeps every school open, and adds enrollment revenue rather than risking it.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
  <sheetViews>
    <sheetView showGridLines="1" workbookViewId="0">
      <selection activeCell="A1" sqref="A1"/>
    </sheetView>
  </sheetViews>
  <sheetFormatPr baseColWidth="8" defaultRowHeight="15"/>
  <cols>
    <col width="50" customWidth="1" min="1" max="1"/>
    <col width="18" customWidth="1" min="2" max="2"/>
    <col width="18" customWidth="1" min="3" max="3"/>
    <col width="26" customWidth="1" min="4" max="4"/>
    <col width="52" customWidth="1" min="5" max="5"/>
  </cols>
  <sheetData>
    <row r="1">
      <c r="A1" s="1" t="inlineStr">
        <is>
          <t>Three Complete Plans, Compared (illustrative five-year view)</t>
        </is>
      </c>
    </row>
    <row r="2">
      <c r="A2" s="21" t="inlineStr">
        <is>
          <t>Each row is a full operating plan under this workbook's stated assumptions; the district should replace them with actuals. One-time closure transition costs (moving, receiving-school additions, building carrying or disposal) have not been published and are not included. Coverage percentages use the $2.65M before-transfers gap; these balance projections use the net drawdown after transfers.</t>
        </is>
      </c>
    </row>
    <row r="4">
      <c r="A4" s="17" t="inlineStr">
        <is>
          <t>Plan</t>
        </is>
      </c>
      <c r="B4" s="17" t="inlineStr">
        <is>
          <t>Recurring GF impact ($/yr, by yr 3)</t>
        </is>
      </c>
      <c r="C4" s="17" t="inlineStr">
        <is>
          <t>Projected FY2029 balance</t>
        </is>
      </c>
      <c r="D4" s="17" t="inlineStr">
        <is>
          <t>One-time costs</t>
        </is>
      </c>
      <c r="E4" s="17" t="inlineStr">
        <is>
          <t>What it requires and risks</t>
        </is>
      </c>
    </row>
    <row r="5">
      <c r="A5" s="3" t="inlineStr">
        <is>
          <t>1. Districtwide status quo (change nothing anywhere)</t>
        </is>
      </c>
      <c r="B5" s="8" t="n">
        <v>0</v>
      </c>
      <c r="C5" s="9">
        <f>Runway!E5</f>
        <v/>
      </c>
      <c r="D5" s="2" t="inlineStr">
        <is>
          <t>None</t>
        </is>
      </c>
      <c r="E5" s="2" t="inlineStr">
        <is>
          <t>No decisions; the districtwide drawdown, which NMES did not cause, simply continues on the straight line with or without the school</t>
        </is>
      </c>
    </row>
    <row r="6">
      <c r="A6" s="3" t="inlineStr">
        <is>
          <t>2. Close NMES and consolidate</t>
        </is>
      </c>
      <c r="B6" s="18">
        <f>Closure_Model!B20</f>
        <v/>
      </c>
      <c r="C6" s="9">
        <f>Runway!E7</f>
        <v/>
      </c>
      <c r="D6" s="2" t="inlineStr">
        <is>
          <t>Unpublished</t>
        </is>
      </c>
      <c r="E6" s="2" t="inlineStr">
        <is>
          <t>Closure vote; covers 13.6% of the gap (24.2% in the district-favorable case); longer rides; enrollment-loss risk</t>
        </is>
      </c>
    </row>
    <row r="7">
      <c r="A7" s="3" t="inlineStr">
        <is>
          <t>3. Districtwide recovery plan (menu plus levy; includes rebalancing and growing NMES)</t>
        </is>
      </c>
      <c r="B7" s="18">
        <f>Alternatives!B21</f>
        <v/>
      </c>
      <c r="C7" s="9">
        <f>Runway!E6</f>
        <v/>
      </c>
      <c r="D7" s="2" t="inlineStr">
        <is>
          <t>Varies by measure</t>
        </is>
      </c>
      <c r="E7" s="2" t="inlineStr">
        <is>
          <t>Revenue votes, administrative rollback, boundary action, HB 563 recruitment and a signature program at NMES (advanced learners is one option), implementation discipline; every school stays open</t>
        </is>
      </c>
    </row>
    <row r="9">
      <c r="A9" s="21" t="inlineStr">
        <is>
          <t>Reading: the question before the board is not closure versus no closure. It is which complete plan produces the best verified five-year result. Plan 2 buys roughly one extra year of runway; Plan 3 restores balance while keeping every school open. The rebalance-and-grow scenario (Redistricting tab) is one line inside Plan 3's menu.</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54"/>
  <sheetViews>
    <sheetView showGridLines="1" workbookViewId="0">
      <selection activeCell="A1" sqref="A1"/>
    </sheetView>
  </sheetViews>
  <sheetFormatPr baseColWidth="8" defaultRowHeight="15"/>
  <cols>
    <col width="36" customWidth="1" min="1" max="1"/>
    <col width="13" customWidth="1" min="2" max="2"/>
    <col width="13" customWidth="1" min="3" max="3"/>
    <col width="13" customWidth="1" min="4" max="4"/>
    <col width="6" customWidth="1" min="5" max="5"/>
    <col width="13" customWidth="1" min="6" max="6"/>
    <col width="48" customWidth="1" min="7" max="7"/>
  </cols>
  <sheetData>
    <row r="1">
      <c r="A1" s="1" t="inlineStr">
        <is>
          <t>Property Tax Rates, Fund Split, Delinquency, and the 4% Option</t>
        </is>
      </c>
    </row>
    <row r="2">
      <c r="A2" s="2" t="inlineStr">
        <is>
          <t>Backs Section 9 and Figure 15 of the report. Rates in cents per $100. DOR rate books primary for 2023-2025; 2018-2022 verified secondary; 2005-2017 not retrieved and not interpolated.</t>
        </is>
      </c>
    </row>
    <row r="4">
      <c r="A4" s="4" t="inlineStr">
        <is>
          <t>BOURBON COUNTY SCHOOLS, REAL ESTATE RATE BY TAX YEAR</t>
        </is>
      </c>
    </row>
    <row r="5">
      <c r="A5" s="3" t="inlineStr">
        <is>
          <t>2018</t>
        </is>
      </c>
      <c r="B5" s="28" t="n">
        <v>61.3</v>
      </c>
      <c r="G5" s="21" t="inlineStr">
        <is>
          <t>2019 documented as the board taking the 4% option (Bourbon County Citizen, 9/4/2019); other years' rate type undetermined pending KDE levy files</t>
        </is>
      </c>
    </row>
    <row r="6">
      <c r="A6" s="3" t="inlineStr">
        <is>
          <t>2019</t>
        </is>
      </c>
      <c r="B6" s="28" t="n">
        <v>60.6</v>
      </c>
    </row>
    <row r="7">
      <c r="A7" s="3" t="inlineStr">
        <is>
          <t>2020</t>
        </is>
      </c>
      <c r="B7" s="28" t="n">
        <v>55.9</v>
      </c>
    </row>
    <row r="8">
      <c r="A8" s="3" t="inlineStr">
        <is>
          <t>2021</t>
        </is>
      </c>
      <c r="B8" s="28" t="n">
        <v>54.2</v>
      </c>
    </row>
    <row r="9">
      <c r="A9" s="3" t="inlineStr">
        <is>
          <t>2022</t>
        </is>
      </c>
      <c r="B9" s="28" t="n">
        <v>49.2</v>
      </c>
    </row>
    <row r="10">
      <c r="A10" s="3" t="inlineStr">
        <is>
          <t>2023</t>
        </is>
      </c>
      <c r="B10" s="28" t="n">
        <v>52.4</v>
      </c>
    </row>
    <row r="11">
      <c r="A11" s="3" t="inlineStr">
        <is>
          <t>2024</t>
        </is>
      </c>
      <c r="B11" s="28" t="n">
        <v>52.4</v>
      </c>
    </row>
    <row r="12">
      <c r="A12" s="3" t="inlineStr">
        <is>
          <t>2025</t>
        </is>
      </c>
      <c r="B12" s="28" t="n">
        <v>52.4</v>
      </c>
    </row>
    <row r="14">
      <c r="A14" s="3" t="inlineStr">
        <is>
          <t>Tangible/personal rate (recent)</t>
        </is>
      </c>
      <c r="B14" s="28" t="n">
        <v>64.5</v>
      </c>
    </row>
    <row r="15">
      <c r="A15" s="3" t="inlineStr">
        <is>
          <t>Motor vehicle rate</t>
        </is>
      </c>
      <c r="B15" s="28" t="n">
        <v>54.7</v>
      </c>
    </row>
    <row r="16">
      <c r="A16" s="3" t="inlineStr">
        <is>
          <t>Utility gross receipts</t>
        </is>
      </c>
      <c r="B16" s="13" t="n">
        <v>0.03</v>
      </c>
    </row>
    <row r="18">
      <c r="A18" s="4" t="inlineStr">
        <is>
          <t>AREA DISTRICTS, LEVIED REAL ESTATE RATE 2024-25</t>
        </is>
      </c>
    </row>
    <row r="19">
      <c r="A19" s="3" t="inlineStr">
        <is>
          <t>Fayette County</t>
        </is>
      </c>
      <c r="B19" s="28" t="n">
        <v>80.90000000000001</v>
      </c>
      <c r="G19" s="21" t="inlineStr">
        <is>
          <t>Fayette and Clark from local reporting of board votes; others from DOR rate books. Bourbon ranks second lowest of the nine. Nicholas shown at its real estate rate of 43.1 (tangible 43.7). Bath 63.4 is the 2025 rate (2024: 60.7).</t>
        </is>
      </c>
    </row>
    <row r="20">
      <c r="A20" s="3" t="inlineStr">
        <is>
          <t>Paris Independent</t>
        </is>
      </c>
      <c r="B20" s="28" t="n">
        <v>71.5</v>
      </c>
    </row>
    <row r="21">
      <c r="A21" s="3" t="inlineStr">
        <is>
          <t>Clark County</t>
        </is>
      </c>
      <c r="B21" s="28" t="n">
        <v>66.8</v>
      </c>
    </row>
    <row r="22">
      <c r="A22" s="3" t="inlineStr">
        <is>
          <t>Bath County</t>
        </is>
      </c>
      <c r="B22" s="28" t="n">
        <v>63.4</v>
      </c>
    </row>
    <row r="23">
      <c r="A23" s="3" t="inlineStr">
        <is>
          <t>Scott County</t>
        </is>
      </c>
      <c r="B23" s="28" t="n">
        <v>62.9</v>
      </c>
    </row>
    <row r="24">
      <c r="A24" s="3" t="inlineStr">
        <is>
          <t>Harrison County</t>
        </is>
      </c>
      <c r="B24" s="28" t="n">
        <v>57.7</v>
      </c>
    </row>
    <row r="25">
      <c r="A25" s="3" t="inlineStr">
        <is>
          <t>Montgomery County</t>
        </is>
      </c>
      <c r="B25" s="28" t="n">
        <v>52.5</v>
      </c>
    </row>
    <row r="26">
      <c r="A26" s="3" t="inlineStr">
        <is>
          <t>Bourbon County</t>
        </is>
      </c>
      <c r="B26" s="28" t="n">
        <v>52.4</v>
      </c>
    </row>
    <row r="27">
      <c r="A27" s="3" t="inlineStr">
        <is>
          <t>Nicholas County</t>
        </is>
      </c>
      <c r="B27" s="28" t="n">
        <v>43.1</v>
      </c>
    </row>
    <row r="28">
      <c r="A28" s="3" t="inlineStr">
        <is>
          <t>Statewide school average (DOR Table II, 2025)</t>
        </is>
      </c>
      <c r="B28" s="28" t="n">
        <v>65.13</v>
      </c>
    </row>
    <row r="31">
      <c r="A31" s="4" t="inlineStr">
        <is>
          <t>FY2025 PROPERTY TAX BY FUND (audited)</t>
        </is>
      </c>
    </row>
    <row r="32">
      <c r="A32" s="3" t="inlineStr">
        <is>
          <t>General Fund</t>
        </is>
      </c>
      <c r="B32" s="8" t="n">
        <v>7829060</v>
      </c>
      <c r="G32" s="21" t="inlineStr">
        <is>
          <t>GF vs building-fund CENT split unverified; dollar split is audited. Cent split is a records request in the report.</t>
        </is>
      </c>
    </row>
    <row r="33">
      <c r="A33" s="3" t="inlineStr">
        <is>
          <t>Building (FSPK) and debt service funds</t>
        </is>
      </c>
      <c r="B33" s="8" t="n">
        <v>2052786</v>
      </c>
    </row>
    <row r="34">
      <c r="A34" s="3" t="inlineStr">
        <is>
          <t>Total property tax, FY2025</t>
        </is>
      </c>
      <c r="B34" s="9">
        <f>B32+B33</f>
        <v/>
      </c>
    </row>
    <row r="35">
      <c r="A35" s="3" t="inlineStr">
        <is>
          <t>General Fund property tax, FY2024</t>
        </is>
      </c>
      <c r="B35" s="8" t="n">
        <v>7150498</v>
      </c>
    </row>
    <row r="36">
      <c r="A36" s="3" t="inlineStr">
        <is>
          <t>General Fund revenue, FY2025</t>
        </is>
      </c>
      <c r="B36" s="8" t="n">
        <v>26449318</v>
      </c>
    </row>
    <row r="37">
      <c r="A37" s="3" t="inlineStr">
        <is>
          <t>General Fund deficit before transfers, FY2025</t>
        </is>
      </c>
      <c r="B37" s="8" t="n">
        <v>2648086</v>
      </c>
    </row>
    <row r="38">
      <c r="A38" s="3" t="inlineStr">
        <is>
          <t>General Fund expenditures, FY2025</t>
        </is>
      </c>
      <c r="B38" s="9">
        <f>B36+B37</f>
        <v/>
      </c>
    </row>
    <row r="39">
      <c r="A39" s="3" t="inlineStr">
        <is>
          <t>Local levy share of General Fund spending</t>
        </is>
      </c>
      <c r="B39" s="19">
        <f>B32/B38</f>
        <v/>
      </c>
    </row>
    <row r="41">
      <c r="A41" s="4" t="inlineStr">
        <is>
          <t>DELINQUENCY CHECK (collections vs certified yield)</t>
        </is>
      </c>
      <c r="B41" s="22" t="inlineStr">
        <is>
          <t>FY2024</t>
        </is>
      </c>
      <c r="C41" s="22" t="inlineStr">
        <is>
          <t>FY2025</t>
        </is>
      </c>
    </row>
    <row r="42">
      <c r="A42" s="3" t="inlineStr">
        <is>
          <t>Calculated yield at levied rates</t>
        </is>
      </c>
      <c r="B42" s="8" t="n">
        <v>10556809</v>
      </c>
      <c r="C42" s="8" t="n">
        <v>9880143</v>
      </c>
    </row>
    <row r="43">
      <c r="A43" s="3" t="inlineStr">
        <is>
          <t>Actual collections</t>
        </is>
      </c>
      <c r="B43" s="8" t="n">
        <v>10168969</v>
      </c>
      <c r="C43" s="8" t="n">
        <v>9641017</v>
      </c>
    </row>
    <row r="44">
      <c r="A44" s="3" t="inlineStr">
        <is>
          <t>Gap (ordinary delinquency)</t>
        </is>
      </c>
      <c r="B44" s="9">
        <f>B42-B43</f>
        <v/>
      </c>
      <c r="C44" s="9">
        <f>C42-C43</f>
        <v/>
      </c>
    </row>
    <row r="45">
      <c r="A45" s="3" t="inlineStr">
        <is>
          <t>Gap as share of yield</t>
        </is>
      </c>
      <c r="B45" s="19">
        <f>B44/B42</f>
        <v/>
      </c>
      <c r="C45" s="19">
        <f>C44/C42</f>
        <v/>
      </c>
    </row>
    <row r="47">
      <c r="A47" s="4" t="inlineStr">
        <is>
          <t>FOUR PERCENT OPTION, THREE-YEAR PATH (KRS 160.470)</t>
        </is>
      </c>
    </row>
    <row r="48">
      <c r="A48" s="3" t="inlineStr">
        <is>
          <t>Base: FY2025 General Fund real + personal collections</t>
        </is>
      </c>
      <c r="B48" s="18">
        <f>B32</f>
        <v/>
      </c>
      <c r="G48" s="21" t="inlineStr">
        <is>
          <t>Basis: 4% more revenue from EXISTING real + personal property than the compensating rate, on the GENERAL FUND levy only. The restricted building-fund (FSPK, $2,052,786) and debt levies are excluded because that money cannot pay operating costs, the same restricted-funds rule this report applies to closure. New property excluded (upside); motor vehicle separate; recall applies only above 4%.</t>
        </is>
      </c>
    </row>
    <row r="49">
      <c r="A49" s="3" t="inlineStr">
        <is>
          <t>Annual revenue option</t>
        </is>
      </c>
      <c r="B49" s="13" t="n">
        <v>0.04</v>
      </c>
    </row>
    <row r="50">
      <c r="A50" s="3" t="inlineStr">
        <is>
          <t>Year 1 added recurring revenue</t>
        </is>
      </c>
      <c r="B50" s="9">
        <f>B48*B49</f>
        <v/>
      </c>
    </row>
    <row r="51">
      <c r="A51" s="3" t="inlineStr">
        <is>
          <t>Year 2 added recurring revenue</t>
        </is>
      </c>
      <c r="B51" s="9">
        <f>(B48+B50)*B49</f>
        <v/>
      </c>
    </row>
    <row r="52">
      <c r="A52" s="3" t="inlineStr">
        <is>
          <t>Year 3 added recurring revenue</t>
        </is>
      </c>
      <c r="B52" s="9">
        <f>(B48+B50+B51)*B49</f>
        <v/>
      </c>
    </row>
    <row r="53">
      <c r="A53" s="3" t="inlineStr">
        <is>
          <t>Cumulative added annual revenue by Year 3</t>
        </is>
      </c>
      <c r="B53" s="9">
        <f>B50+B51+B52</f>
        <v/>
      </c>
    </row>
    <row r="54">
      <c r="A54" s="3" t="inlineStr">
        <is>
          <t>As a share of the FY2025 structural deficit</t>
        </is>
      </c>
      <c r="B54" s="19">
        <f>B53/(Assumptions!B24-Assumptions!B21)</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55"/>
  <sheetViews>
    <sheetView showGridLines="1" workbookViewId="0">
      <selection activeCell="A1" sqref="A1"/>
    </sheetView>
  </sheetViews>
  <sheetFormatPr baseColWidth="8" defaultRowHeight="15"/>
  <cols>
    <col width="30" customWidth="1" min="1" max="1"/>
    <col width="12" customWidth="1" min="2" max="2"/>
    <col width="30" customWidth="1" min="3" max="3"/>
    <col width="6" customWidth="1" min="4" max="4"/>
    <col width="8" customWidth="1" min="5" max="5"/>
    <col width="8" customWidth="1" min="6" max="6"/>
    <col width="6" customWidth="1" min="7" max="7"/>
    <col width="8" customWidth="1" min="8" max="8"/>
    <col width="8" customWidth="1" min="9" max="9"/>
    <col width="44" customWidth="1" min="10" max="10"/>
  </cols>
  <sheetData>
    <row r="1">
      <c r="A1" s="1" t="inlineStr">
        <is>
          <t>County Demographics and NMES Long-Run Enrollment</t>
        </is>
      </c>
    </row>
    <row r="2">
      <c r="A2" s="2" t="inlineStr">
        <is>
          <t>An honest picture: the county is flat to declining, so the growth plan relies on redistricting and cross-county enrollment, not a population rebound.</t>
        </is>
      </c>
    </row>
    <row r="4">
      <c r="A4" s="4" t="inlineStr">
        <is>
          <t>BOURBON COUNTY POPULATION (U.S. Census / FRED; KSDC projection)</t>
        </is>
      </c>
    </row>
    <row r="5">
      <c r="A5" s="3" t="inlineStr">
        <is>
          <t>1970</t>
        </is>
      </c>
      <c r="B5" s="10" t="n">
        <v>18476</v>
      </c>
      <c r="J5" s="21" t="inlineStr">
        <is>
          <t>Sources: FRED series KYBOUR7POP; Envision 2040 plan citing the Kentucky State Data Center</t>
        </is>
      </c>
    </row>
    <row r="6">
      <c r="A6" s="3" t="inlineStr">
        <is>
          <t>1980</t>
        </is>
      </c>
      <c r="B6" s="10" t="n">
        <v>19405</v>
      </c>
    </row>
    <row r="7">
      <c r="A7" s="3" t="inlineStr">
        <is>
          <t>1990</t>
        </is>
      </c>
      <c r="B7" s="10" t="n">
        <v>19247</v>
      </c>
    </row>
    <row r="8">
      <c r="A8" s="3" t="inlineStr">
        <is>
          <t>2000</t>
        </is>
      </c>
      <c r="B8" s="10" t="n">
        <v>19352</v>
      </c>
    </row>
    <row r="9">
      <c r="A9" s="3" t="inlineStr">
        <is>
          <t>2010</t>
        </is>
      </c>
      <c r="B9" s="10" t="n">
        <v>19985</v>
      </c>
    </row>
    <row r="10">
      <c r="A10" s="3" t="inlineStr">
        <is>
          <t>2020</t>
        </is>
      </c>
      <c r="B10" s="10" t="n">
        <v>20252</v>
      </c>
    </row>
    <row r="11">
      <c r="A11" s="3" t="inlineStr">
        <is>
          <t>2024 est.</t>
        </is>
      </c>
      <c r="B11" s="10" t="n">
        <v>20337</v>
      </c>
    </row>
    <row r="12">
      <c r="A12" s="3" t="inlineStr">
        <is>
          <t>2040 projection (KSDC)</t>
        </is>
      </c>
      <c r="B12" s="10" t="n">
        <v>19352</v>
      </c>
    </row>
    <row r="13">
      <c r="A13" s="3" t="inlineStr">
        <is>
          <t>Change, 1970 to 2020</t>
        </is>
      </c>
      <c r="B13" s="11">
        <f>B10-B5</f>
        <v/>
      </c>
    </row>
    <row r="14">
      <c r="A14" s="3" t="inlineStr">
        <is>
          <t>Change as a share of 1970</t>
        </is>
      </c>
      <c r="B14" s="19">
        <f>B13/B5</f>
        <v/>
      </c>
    </row>
    <row r="16">
      <c r="A16" s="4" t="inlineStr">
        <is>
          <t>ADJACENT COUNTIES: 2020 CENSUS AND OUTLOOK</t>
        </is>
      </c>
    </row>
    <row r="17">
      <c r="A17" s="3" t="inlineStr">
        <is>
          <t>Scott (Georgetown)</t>
        </is>
      </c>
      <c r="B17" s="10" t="n">
        <v>57155</v>
      </c>
      <c r="C17" s="2" t="inlineStr">
        <is>
          <t>+46.1% projected to 2050</t>
        </is>
      </c>
    </row>
    <row r="18">
      <c r="A18" s="3" t="inlineStr">
        <is>
          <t>Fayette (Lexington)</t>
        </is>
      </c>
      <c r="B18" s="10" t="n">
        <v>322570</v>
      </c>
      <c r="C18" s="2" t="inlineStr">
        <is>
          <t>+9.8% projected to 2050</t>
        </is>
      </c>
    </row>
    <row r="19">
      <c r="A19" s="3" t="inlineStr">
        <is>
          <t>Clark (Winchester)</t>
        </is>
      </c>
      <c r="B19" s="10" t="n">
        <v>36972</v>
      </c>
      <c r="C19" s="2" t="inlineStr">
        <is>
          <t>Slow growth</t>
        </is>
      </c>
    </row>
    <row r="20">
      <c r="A20" s="3" t="inlineStr">
        <is>
          <t>Montgomery (Mt. Sterling)</t>
        </is>
      </c>
      <c r="B20" s="10" t="n">
        <v>28000</v>
      </c>
      <c r="C20" s="2" t="inlineStr">
        <is>
          <t>Slow growth</t>
        </is>
      </c>
    </row>
    <row r="21">
      <c r="A21" s="3" t="inlineStr">
        <is>
          <t>Harrison (Cynthiana)</t>
        </is>
      </c>
      <c r="B21" s="10" t="n">
        <v>18692</v>
      </c>
      <c r="C21" s="2" t="inlineStr">
        <is>
          <t>Roughly flat</t>
        </is>
      </c>
    </row>
    <row r="22">
      <c r="A22" s="3" t="inlineStr">
        <is>
          <t>Bath</t>
        </is>
      </c>
      <c r="B22" s="10" t="n">
        <v>12500</v>
      </c>
      <c r="C22" s="2" t="inlineStr">
        <is>
          <t>Flat to declining</t>
        </is>
      </c>
    </row>
    <row r="23">
      <c r="A23" s="3" t="inlineStr">
        <is>
          <t>Nicholas (Carlisle)</t>
        </is>
      </c>
      <c r="B23" s="10" t="n">
        <v>7537</v>
      </c>
      <c r="C23" s="2" t="inlineStr">
        <is>
          <t>Flat to declining</t>
        </is>
      </c>
    </row>
    <row r="24">
      <c r="A24" s="3" t="inlineStr">
        <is>
          <t>Bourbon</t>
        </is>
      </c>
      <c r="B24" s="10" t="n">
        <v>20252</v>
      </c>
      <c r="C24" s="2" t="inlineStr">
        <is>
          <t>About -4% by 2040 (KSDC)</t>
        </is>
      </c>
    </row>
    <row r="26">
      <c r="A26" s="4" t="inlineStr">
        <is>
          <t>NORTH MIDDLETOWN CITY POPULATION</t>
        </is>
      </c>
    </row>
    <row r="27">
      <c r="A27" s="3" t="inlineStr">
        <is>
          <t>2000</t>
        </is>
      </c>
      <c r="B27" s="10" t="n">
        <v>562</v>
      </c>
    </row>
    <row r="28">
      <c r="A28" s="3" t="inlineStr">
        <is>
          <t>2010 (approx.)</t>
        </is>
      </c>
      <c r="B28" s="10" t="n">
        <v>521</v>
      </c>
    </row>
    <row r="29">
      <c r="A29" s="3" t="inlineStr">
        <is>
          <t>2020</t>
        </is>
      </c>
      <c r="B29" s="10" t="n">
        <v>610</v>
      </c>
    </row>
    <row r="30">
      <c r="A30" s="3" t="inlineStr">
        <is>
          <t>2024 est.</t>
        </is>
      </c>
      <c r="B30" s="10" t="n">
        <v>679</v>
      </c>
    </row>
    <row r="32">
      <c r="A32" s="4" t="inlineStr">
        <is>
          <t>NMES ENROLLMENT, 1989-2025 (spring of school year; backs Figure 11)</t>
        </is>
      </c>
    </row>
    <row r="33">
      <c r="A33" s="3" t="inlineStr">
        <is>
          <t>Peak enrollment (1988-89)</t>
        </is>
      </c>
      <c r="B33" s="11">
        <f>MAX(F33:F51,I33:I50)</f>
        <v/>
      </c>
      <c r="E33" s="22" t="inlineStr">
        <is>
          <t>1989</t>
        </is>
      </c>
      <c r="F33" s="10" t="n">
        <v>261</v>
      </c>
      <c r="H33" s="22" t="inlineStr">
        <is>
          <t>2008</t>
        </is>
      </c>
      <c r="I33" s="10" t="n">
        <v>224</v>
      </c>
      <c r="J33" s="21" t="inlineStr">
        <is>
          <t>1989-2014 compiled by PublicSchoolReview from federal data; 2015-2025 match NCES directly</t>
        </is>
      </c>
    </row>
    <row r="34">
      <c r="A34" s="3" t="inlineStr">
        <is>
          <t>Latest official count (2024-25)</t>
        </is>
      </c>
      <c r="B34" s="11">
        <f>I50</f>
        <v/>
      </c>
      <c r="E34" s="22" t="inlineStr">
        <is>
          <t>1990</t>
        </is>
      </c>
      <c r="F34" s="10" t="n">
        <v>255</v>
      </c>
      <c r="H34" s="22" t="inlineStr">
        <is>
          <t>2009</t>
        </is>
      </c>
      <c r="I34" s="10" t="n">
        <v>217</v>
      </c>
    </row>
    <row r="35">
      <c r="A35" s="3" t="inlineStr">
        <is>
          <t>Decline from peak</t>
        </is>
      </c>
      <c r="B35" s="11">
        <f>B33-B34</f>
        <v/>
      </c>
      <c r="E35" s="22" t="inlineStr">
        <is>
          <t>1991</t>
        </is>
      </c>
      <c r="F35" s="10" t="n">
        <v>234</v>
      </c>
      <c r="H35" s="22" t="inlineStr">
        <is>
          <t>2010</t>
        </is>
      </c>
      <c r="I35" s="10" t="n">
        <v>177</v>
      </c>
    </row>
    <row r="36">
      <c r="A36" s="3" t="inlineStr">
        <is>
          <t>Decline as a share of peak</t>
        </is>
      </c>
      <c r="B36" s="19">
        <f>B35/B33</f>
        <v/>
      </c>
      <c r="E36" s="22" t="inlineStr">
        <is>
          <t>1992</t>
        </is>
      </c>
      <c r="F36" s="10" t="n">
        <v>225</v>
      </c>
      <c r="H36" s="22" t="inlineStr">
        <is>
          <t>2011</t>
        </is>
      </c>
      <c r="I36" s="10" t="n">
        <v>165</v>
      </c>
    </row>
    <row r="37">
      <c r="A37" s="3" t="inlineStr">
        <is>
          <t>Current rated capacity</t>
        </is>
      </c>
      <c r="B37" s="25">
        <f>Assumptions!B12</f>
        <v/>
      </c>
      <c r="E37" s="22" t="inlineStr">
        <is>
          <t>1993</t>
        </is>
      </c>
      <c r="F37" s="10" t="n">
        <v>202</v>
      </c>
      <c r="H37" s="22" t="inlineStr">
        <is>
          <t>2012</t>
        </is>
      </c>
      <c r="I37" s="10" t="n">
        <v>167</v>
      </c>
    </row>
    <row r="38">
      <c r="E38" s="22" t="inlineStr">
        <is>
          <t>1994</t>
        </is>
      </c>
      <c r="F38" s="10" t="n">
        <v>203</v>
      </c>
      <c r="H38" s="22" t="inlineStr">
        <is>
          <t>2013</t>
        </is>
      </c>
      <c r="I38" s="10" t="n">
        <v>154</v>
      </c>
    </row>
    <row r="39">
      <c r="E39" s="22" t="inlineStr">
        <is>
          <t>1995</t>
        </is>
      </c>
      <c r="F39" s="10" t="n">
        <v>182</v>
      </c>
      <c r="H39" s="22" t="inlineStr">
        <is>
          <t>2014</t>
        </is>
      </c>
      <c r="I39" s="10" t="n">
        <v>154</v>
      </c>
    </row>
    <row r="40">
      <c r="E40" s="22" t="inlineStr">
        <is>
          <t>1996</t>
        </is>
      </c>
      <c r="F40" s="10" t="n">
        <v>196</v>
      </c>
      <c r="H40" s="22" t="inlineStr">
        <is>
          <t>2015</t>
        </is>
      </c>
      <c r="I40" s="10" t="n">
        <v>155</v>
      </c>
    </row>
    <row r="41">
      <c r="E41" s="22" t="inlineStr">
        <is>
          <t>1997</t>
        </is>
      </c>
      <c r="F41" s="10" t="n">
        <v>208</v>
      </c>
      <c r="H41" s="22" t="inlineStr">
        <is>
          <t>2016</t>
        </is>
      </c>
      <c r="I41" s="10" t="n">
        <v>154</v>
      </c>
    </row>
    <row r="42">
      <c r="E42" s="22" t="inlineStr">
        <is>
          <t>1998</t>
        </is>
      </c>
      <c r="F42" s="10" t="n">
        <v>198</v>
      </c>
      <c r="H42" s="22" t="inlineStr">
        <is>
          <t>2017</t>
        </is>
      </c>
      <c r="I42" s="10" t="n">
        <v>131</v>
      </c>
    </row>
    <row r="43">
      <c r="E43" s="22" t="inlineStr">
        <is>
          <t>1999</t>
        </is>
      </c>
      <c r="F43" s="10" t="n">
        <v>205</v>
      </c>
      <c r="H43" s="22" t="inlineStr">
        <is>
          <t>2018</t>
        </is>
      </c>
      <c r="I43" s="10" t="n">
        <v>131</v>
      </c>
    </row>
    <row r="44">
      <c r="E44" s="22" t="inlineStr">
        <is>
          <t>2000</t>
        </is>
      </c>
      <c r="F44" s="10" t="n">
        <v>195</v>
      </c>
      <c r="H44" s="22" t="inlineStr">
        <is>
          <t>2019</t>
        </is>
      </c>
      <c r="I44" s="10" t="n">
        <v>160</v>
      </c>
    </row>
    <row r="45">
      <c r="E45" s="22" t="inlineStr">
        <is>
          <t>2001</t>
        </is>
      </c>
      <c r="F45" s="10" t="n">
        <v>195</v>
      </c>
      <c r="H45" s="22" t="inlineStr">
        <is>
          <t>2020</t>
        </is>
      </c>
      <c r="I45" s="10" t="n">
        <v>160</v>
      </c>
    </row>
    <row r="46">
      <c r="E46" s="22" t="inlineStr">
        <is>
          <t>2002</t>
        </is>
      </c>
      <c r="F46" s="10" t="n">
        <v>203</v>
      </c>
      <c r="H46" s="22" t="inlineStr">
        <is>
          <t>2021</t>
        </is>
      </c>
      <c r="I46" s="10" t="n">
        <v>148</v>
      </c>
    </row>
    <row r="47">
      <c r="E47" s="22" t="inlineStr">
        <is>
          <t>2003</t>
        </is>
      </c>
      <c r="F47" s="10" t="n">
        <v>196</v>
      </c>
      <c r="H47" s="22" t="inlineStr">
        <is>
          <t>2022</t>
        </is>
      </c>
      <c r="I47" s="10" t="n">
        <v>153</v>
      </c>
    </row>
    <row r="48">
      <c r="E48" s="22" t="inlineStr">
        <is>
          <t>2004</t>
        </is>
      </c>
      <c r="F48" s="10" t="n">
        <v>206</v>
      </c>
      <c r="H48" s="22" t="inlineStr">
        <is>
          <t>2023</t>
        </is>
      </c>
      <c r="I48" s="10" t="n">
        <v>145</v>
      </c>
    </row>
    <row r="49">
      <c r="E49" s="22" t="inlineStr">
        <is>
          <t>2005</t>
        </is>
      </c>
      <c r="F49" s="10" t="n">
        <v>204</v>
      </c>
      <c r="H49" s="22" t="inlineStr">
        <is>
          <t>2024</t>
        </is>
      </c>
      <c r="I49" s="10" t="n">
        <v>135</v>
      </c>
    </row>
    <row r="50">
      <c r="E50" s="22" t="inlineStr">
        <is>
          <t>2006</t>
        </is>
      </c>
      <c r="F50" s="10" t="n">
        <v>199</v>
      </c>
      <c r="H50" s="22" t="inlineStr">
        <is>
          <t>2025</t>
        </is>
      </c>
      <c r="I50" s="10" t="n">
        <v>128</v>
      </c>
    </row>
    <row r="51">
      <c r="E51" s="22" t="inlineStr">
        <is>
          <t>2007</t>
        </is>
      </c>
      <c r="F51" s="10" t="n">
        <v>211</v>
      </c>
    </row>
    <row r="54">
      <c r="A54" s="4" t="inlineStr">
        <is>
          <t>HONEST BOTTOM LINE</t>
        </is>
      </c>
    </row>
    <row r="55">
      <c r="A55" s="21" t="inlineStr">
        <is>
          <t>Bourbon County faces a real demographic headwind: flat for fifty years, aging, land-constrained, projected down about 4% by 2040, and outside the Scott and Fayette growth corridor. Organic enrollment growth at NMES is unlikely. The growth case therefore rests on redistricting within the district and cross-county enrollment on quality under House Bill 563, plus the school's academic record and community-anchor value.</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T62"/>
  <sheetViews>
    <sheetView showGridLines="1" workbookViewId="0">
      <selection activeCell="A1" sqref="A1"/>
    </sheetView>
  </sheetViews>
  <sheetFormatPr baseColWidth="8" defaultRowHeight="15"/>
  <cols>
    <col width="30" customWidth="1" min="1" max="1"/>
    <col width="7.2" customWidth="1" min="2" max="2"/>
    <col width="7.2" customWidth="1" min="3" max="3"/>
    <col width="7.2" customWidth="1" min="4" max="4"/>
    <col width="7.2" customWidth="1" min="5" max="5"/>
    <col width="7.2" customWidth="1" min="6" max="6"/>
    <col width="7.2" customWidth="1" min="7" max="7"/>
    <col width="7.2" customWidth="1" min="8" max="8"/>
    <col width="7.2" customWidth="1" min="9" max="9"/>
    <col width="7.2" customWidth="1" min="10" max="10"/>
    <col width="7.2" customWidth="1" min="11" max="11"/>
    <col width="7.2" customWidth="1" min="12" max="12"/>
    <col width="7.2" customWidth="1" min="13" max="13"/>
    <col width="7.2" customWidth="1" min="14" max="14"/>
    <col width="7.2" customWidth="1" min="15" max="15"/>
    <col width="7.2" customWidth="1" min="16" max="16"/>
    <col width="7.2" customWidth="1" min="17" max="17"/>
    <col width="7.2" customWidth="1" min="18" max="18"/>
    <col width="7.2" customWidth="1" min="19" max="19"/>
    <col width="44" customWidth="1" min="20" max="20"/>
  </cols>
  <sheetData>
    <row r="1">
      <c r="A1" s="1" t="inlineStr">
        <is>
          <t>School Data Backing the Report Figures</t>
        </is>
      </c>
    </row>
    <row r="2">
      <c r="A2" s="2" t="inlineStr">
        <is>
          <t>Inputs (blue) transcribed from public sources. The 2007-2025 series below is SchoolDigger's normalized 0-100 index built from KDE test data (a third-party rendering, kept for context). KDE's own official record, pulled directly from the department's historical files, is in the KDE OFFICIAL HISTORY block below and governs every claim in the report.</t>
        </is>
      </c>
    </row>
    <row r="4">
      <c r="A4" s="4" t="inlineStr">
        <is>
          <t>NMES ENROLLMENT BY SCHOOL YEAR (backs Figure 11)</t>
        </is>
      </c>
    </row>
    <row r="5">
      <c r="A5" s="22" t="inlineStr">
        <is>
          <t>School year</t>
        </is>
      </c>
      <c r="B5" s="22" t="inlineStr">
        <is>
          <t>'15-16</t>
        </is>
      </c>
      <c r="C5" s="22" t="inlineStr">
        <is>
          <t>'16-17</t>
        </is>
      </c>
      <c r="D5" s="22" t="inlineStr">
        <is>
          <t>'17-18</t>
        </is>
      </c>
      <c r="E5" s="22" t="inlineStr">
        <is>
          <t>'18-19</t>
        </is>
      </c>
      <c r="F5" s="22" t="inlineStr">
        <is>
          <t>'19-20</t>
        </is>
      </c>
      <c r="G5" s="22" t="inlineStr">
        <is>
          <t>'20-21</t>
        </is>
      </c>
      <c r="H5" s="22" t="inlineStr">
        <is>
          <t>'21-22</t>
        </is>
      </c>
      <c r="I5" s="22" t="inlineStr">
        <is>
          <t>'22-23</t>
        </is>
      </c>
      <c r="J5" s="22" t="inlineStr">
        <is>
          <t>'23-24</t>
        </is>
      </c>
      <c r="K5" s="22" t="inlineStr">
        <is>
          <t>'24-25</t>
        </is>
      </c>
    </row>
    <row r="6">
      <c r="A6" s="3" t="inlineStr">
        <is>
          <t>Students</t>
        </is>
      </c>
      <c r="B6" s="10" t="n">
        <v>154</v>
      </c>
      <c r="C6" s="10" t="n">
        <v>131</v>
      </c>
      <c r="D6" s="10" t="n">
        <v>131</v>
      </c>
      <c r="E6" s="10" t="n">
        <v>160</v>
      </c>
      <c r="F6" s="10" t="n">
        <v>160</v>
      </c>
      <c r="G6" s="10" t="n">
        <v>148</v>
      </c>
      <c r="H6" s="10" t="n">
        <v>153</v>
      </c>
      <c r="I6" s="10" t="n">
        <v>145</v>
      </c>
      <c r="J6" s="10" t="n">
        <v>135</v>
      </c>
      <c r="K6" s="10" t="n">
        <v>128</v>
      </c>
      <c r="T6" s="21" t="inlineStr">
        <is>
          <t>NCES school-level data (as compiled by PublicSchoolReview); 2024-25 = NCES CCD official count</t>
        </is>
      </c>
    </row>
    <row r="8">
      <c r="A8" s="3" t="inlineStr">
        <is>
          <t>Rated capacity (2021 facility plan)</t>
        </is>
      </c>
      <c r="B8" s="10" t="n">
        <v>174</v>
      </c>
    </row>
    <row r="9">
      <c r="A9" s="3" t="inlineStr">
        <is>
          <t>Open seats, 2024-25</t>
        </is>
      </c>
      <c r="B9" s="11">
        <f>B8-K6</f>
        <v/>
      </c>
    </row>
    <row r="11">
      <c r="A11" s="2" t="inlineStr">
        <is>
          <t>Note: the superintendent has publicly said 'around 100'; a '118' figure could not be verified in any official record.</t>
        </is>
      </c>
    </row>
    <row r="13">
      <c r="A13" s="4" t="inlineStr">
        <is>
          <t>ELEMENTARY SCORES BY YEAR, 2007-2025 (backs Figures 6 and 7)</t>
        </is>
      </c>
    </row>
    <row r="14">
      <c r="A14" s="22" t="inlineStr">
        <is>
          <t>School (district)</t>
        </is>
      </c>
      <c r="B14" s="22" t="inlineStr">
        <is>
          <t>2007</t>
        </is>
      </c>
      <c r="C14" s="22" t="inlineStr">
        <is>
          <t>2008</t>
        </is>
      </c>
      <c r="D14" s="22" t="inlineStr">
        <is>
          <t>2009</t>
        </is>
      </c>
      <c r="E14" s="22" t="inlineStr">
        <is>
          <t>2010</t>
        </is>
      </c>
      <c r="F14" s="22" t="inlineStr">
        <is>
          <t>2011</t>
        </is>
      </c>
      <c r="G14" s="22" t="inlineStr">
        <is>
          <t>2012</t>
        </is>
      </c>
      <c r="H14" s="22" t="inlineStr">
        <is>
          <t>2013</t>
        </is>
      </c>
      <c r="I14" s="22" t="inlineStr">
        <is>
          <t>2014</t>
        </is>
      </c>
      <c r="J14" s="22" t="inlineStr">
        <is>
          <t>2015</t>
        </is>
      </c>
      <c r="K14" s="22" t="inlineStr">
        <is>
          <t>2016</t>
        </is>
      </c>
      <c r="L14" s="22" t="inlineStr">
        <is>
          <t>2017</t>
        </is>
      </c>
      <c r="M14" s="22" t="inlineStr">
        <is>
          <t>2018</t>
        </is>
      </c>
      <c r="N14" s="22" t="inlineStr">
        <is>
          <t>2019</t>
        </is>
      </c>
      <c r="O14" s="22" t="inlineStr">
        <is>
          <t>2021</t>
        </is>
      </c>
      <c r="P14" s="22" t="inlineStr">
        <is>
          <t>2022</t>
        </is>
      </c>
      <c r="Q14" s="22" t="inlineStr">
        <is>
          <t>2023</t>
        </is>
      </c>
      <c r="R14" s="22" t="inlineStr">
        <is>
          <t>2024</t>
        </is>
      </c>
      <c r="S14" s="22" t="inlineStr">
        <is>
          <t>2025</t>
        </is>
      </c>
      <c r="T14" s="21" t="inlineStr">
        <is>
          <t>SchoolDigger rendering of KDE test data. No statewide tests in 2020; NMES 2021 not reported. Assessment systems: CATS/KCCT 2007-11, K-PREP 2012-19, KSA 2021-25.</t>
        </is>
      </c>
    </row>
    <row r="15">
      <c r="A15" s="3" t="inlineStr">
        <is>
          <t>North Middletown (Bourbon Co.)</t>
        </is>
      </c>
      <c r="B15" s="28" t="n">
        <v>56.5</v>
      </c>
      <c r="C15" s="28" t="n">
        <v>63.9</v>
      </c>
      <c r="D15" s="28" t="n">
        <v>68.59999999999999</v>
      </c>
      <c r="E15" s="28" t="n">
        <v>87.90000000000001</v>
      </c>
      <c r="F15" s="28" t="n">
        <v>85.8</v>
      </c>
      <c r="G15" s="28" t="n">
        <v>72.5</v>
      </c>
      <c r="H15" s="28" t="n">
        <v>67.59999999999999</v>
      </c>
      <c r="I15" s="28" t="n">
        <v>56.6</v>
      </c>
      <c r="J15" s="28" t="n">
        <v>56.9</v>
      </c>
      <c r="K15" s="28" t="n">
        <v>48.7</v>
      </c>
      <c r="L15" s="28" t="n">
        <v>49.3</v>
      </c>
      <c r="M15" s="28" t="n">
        <v>40</v>
      </c>
      <c r="N15" s="28" t="n">
        <v>50.4</v>
      </c>
      <c r="P15" s="28" t="n">
        <v>47.7</v>
      </c>
      <c r="Q15" s="28" t="n">
        <v>32.1</v>
      </c>
      <c r="R15" s="28" t="n">
        <v>54.1</v>
      </c>
      <c r="S15" s="28" t="n">
        <v>58.2</v>
      </c>
    </row>
    <row r="16">
      <c r="A16" s="3" t="inlineStr">
        <is>
          <t>Bourbon Central (Bourbon Co.)</t>
        </is>
      </c>
      <c r="B16" s="28" t="n">
        <v>77.5</v>
      </c>
      <c r="C16" s="28" t="n">
        <v>81.90000000000001</v>
      </c>
      <c r="D16" s="28" t="n">
        <v>72.59999999999999</v>
      </c>
      <c r="E16" s="28" t="n">
        <v>69.59999999999999</v>
      </c>
      <c r="F16" s="28" t="n">
        <v>63</v>
      </c>
      <c r="G16" s="28" t="n">
        <v>74.7</v>
      </c>
      <c r="H16" s="28" t="n">
        <v>67.59999999999999</v>
      </c>
      <c r="I16" s="28" t="n">
        <v>51.8</v>
      </c>
      <c r="J16" s="28" t="n">
        <v>52.1</v>
      </c>
      <c r="K16" s="28" t="n">
        <v>30</v>
      </c>
      <c r="L16" s="28" t="n">
        <v>34</v>
      </c>
      <c r="M16" s="28" t="n">
        <v>32.8</v>
      </c>
      <c r="N16" s="28" t="n">
        <v>39.9</v>
      </c>
      <c r="O16" s="28" t="n">
        <v>20</v>
      </c>
      <c r="P16" s="28" t="n">
        <v>29.9</v>
      </c>
      <c r="Q16" s="28" t="n">
        <v>29</v>
      </c>
      <c r="R16" s="28" t="n">
        <v>23.8</v>
      </c>
      <c r="S16" s="28" t="n">
        <v>26.5</v>
      </c>
    </row>
    <row r="17">
      <c r="A17" s="3" t="inlineStr">
        <is>
          <t>Cane Ridge (Bourbon Co.)</t>
        </is>
      </c>
      <c r="B17" s="28" t="n">
        <v>35.2</v>
      </c>
      <c r="C17" s="28" t="n">
        <v>50.9</v>
      </c>
      <c r="D17" s="28" t="n">
        <v>56.2</v>
      </c>
      <c r="E17" s="28" t="n">
        <v>65.5</v>
      </c>
      <c r="F17" s="28" t="n">
        <v>34.5</v>
      </c>
      <c r="G17" s="28" t="n">
        <v>34</v>
      </c>
      <c r="H17" s="28" t="n">
        <v>49.6</v>
      </c>
      <c r="I17" s="28" t="n">
        <v>51</v>
      </c>
      <c r="J17" s="28" t="n">
        <v>51.1</v>
      </c>
      <c r="K17" s="28" t="n">
        <v>57.5</v>
      </c>
      <c r="L17" s="28" t="n">
        <v>50.4</v>
      </c>
      <c r="M17" s="28" t="n">
        <v>41.4</v>
      </c>
      <c r="N17" s="28" t="n">
        <v>38.8</v>
      </c>
      <c r="O17" s="28" t="n">
        <v>23.8</v>
      </c>
      <c r="P17" s="28" t="n">
        <v>38.7</v>
      </c>
      <c r="Q17" s="28" t="n">
        <v>34.6</v>
      </c>
      <c r="R17" s="28" t="n">
        <v>35.8</v>
      </c>
      <c r="S17" s="28" t="n">
        <v>19.3</v>
      </c>
    </row>
    <row r="18">
      <c r="A18" s="3" t="inlineStr">
        <is>
          <t>Paris Elementary (Paris Indep.)</t>
        </is>
      </c>
      <c r="R18" s="28" t="n">
        <v>16.8</v>
      </c>
      <c r="S18" s="28" t="n">
        <v>12.2</v>
      </c>
    </row>
    <row r="19">
      <c r="A19" s="3" t="inlineStr">
        <is>
          <t>Shearer (Clark Co.)</t>
        </is>
      </c>
      <c r="R19" s="28" t="n">
        <v>30.7</v>
      </c>
      <c r="S19" s="28" t="n">
        <v>42.3</v>
      </c>
    </row>
    <row r="20">
      <c r="A20" s="3" t="inlineStr">
        <is>
          <t>Justice (Clark Co.)</t>
        </is>
      </c>
      <c r="R20" s="28" t="n">
        <v>43.2</v>
      </c>
      <c r="S20" s="28" t="n">
        <v>39.3</v>
      </c>
    </row>
    <row r="21">
      <c r="A21" s="3" t="inlineStr">
        <is>
          <t>Strode Station (Clark Co.)</t>
        </is>
      </c>
      <c r="R21" s="28" t="n">
        <v>43.2</v>
      </c>
      <c r="S21" s="28" t="n">
        <v>34.2</v>
      </c>
    </row>
    <row r="22">
      <c r="A22" s="3" t="inlineStr">
        <is>
          <t>Conkwright (Clark Co.)</t>
        </is>
      </c>
      <c r="R22" s="28" t="n">
        <v>15.6</v>
      </c>
      <c r="S22" s="28" t="n">
        <v>17.5</v>
      </c>
    </row>
    <row r="23">
      <c r="A23" s="3" t="inlineStr">
        <is>
          <t>Northview (Montgomery Co.)</t>
        </is>
      </c>
      <c r="R23" s="28" t="n">
        <v>67.40000000000001</v>
      </c>
      <c r="S23" s="28" t="n">
        <v>68.90000000000001</v>
      </c>
    </row>
    <row r="24">
      <c r="A24" s="3" t="inlineStr">
        <is>
          <t>Mapleton (Montgomery Co.)</t>
        </is>
      </c>
      <c r="R24" s="28" t="n">
        <v>65.90000000000001</v>
      </c>
      <c r="S24" s="28" t="n">
        <v>65.09999999999999</v>
      </c>
    </row>
    <row r="25">
      <c r="A25" s="3" t="inlineStr">
        <is>
          <t>Nicholas County Elementary (Nicholas Co.)</t>
        </is>
      </c>
      <c r="R25" s="28" t="n">
        <v>15.9</v>
      </c>
      <c r="T25" s="2" t="inlineStr">
        <is>
          <t>Nicholas County: 2024 value; 2025 not retrieved</t>
        </is>
      </c>
    </row>
    <row r="26">
      <c r="A26" s="3" t="inlineStr">
        <is>
          <t>Three-year average, 2023-2025: NMES / Bourbon Central / Cane Ridge</t>
        </is>
      </c>
      <c r="B26" s="20">
        <f>AVERAGE(Q15:S15)</f>
        <v/>
      </c>
      <c r="C26" s="20">
        <f>AVERAGE(Q16:S16)</f>
        <v/>
      </c>
      <c r="D26" s="20">
        <f>AVERAGE(Q17:S17)</f>
        <v/>
      </c>
    </row>
    <row r="28">
      <c r="A28" s="4" t="inlineStr">
        <is>
          <t>NMES DETAIL, 2024-25 (backs Section 5)</t>
        </is>
      </c>
    </row>
    <row r="29">
      <c r="B29" s="22" t="inlineStr">
        <is>
          <t>NMES</t>
        </is>
      </c>
      <c r="C29" s="22" t="inlineStr">
        <is>
          <t>Kentucky</t>
        </is>
      </c>
    </row>
    <row r="30">
      <c r="A30" s="3" t="inlineStr">
        <is>
          <t>Reading, proficient or better</t>
        </is>
      </c>
      <c r="B30" s="13" t="n">
        <v>0.5</v>
      </c>
      <c r="C30" s="13" t="n">
        <v>0.5</v>
      </c>
      <c r="T30" s="21" t="inlineStr">
        <is>
          <t>SchoolDigger/KDE; economically disadvantaged composite = 62nd percentile statewide; female = 91st</t>
        </is>
      </c>
    </row>
    <row r="31">
      <c r="A31" s="3" t="inlineStr">
        <is>
          <t>Mathematics, proficient or better</t>
        </is>
      </c>
      <c r="B31" s="13" t="n">
        <v>0.44</v>
      </c>
      <c r="C31" s="13" t="n">
        <v>0.44</v>
      </c>
    </row>
    <row r="32">
      <c r="A32" s="3" t="inlineStr">
        <is>
          <t>Writing, proficient or better</t>
        </is>
      </c>
      <c r="B32" s="13" t="n">
        <v>0.58</v>
      </c>
      <c r="C32" s="13" t="n">
        <v>0.38</v>
      </c>
    </row>
    <row r="33">
      <c r="A33" s="4" t="inlineStr">
        <is>
          <t>KDE 2024-25 KSA, PERCENT PROFICIENT OR DISTINGUISHED, ALL STUDENTS (build/kde_ksa_2024_25.json)</t>
        </is>
      </c>
      <c r="B33" s="13" t="n">
        <v>0.53</v>
      </c>
      <c r="C33" s="13" t="n">
        <v>0.37</v>
      </c>
    </row>
    <row r="34">
      <c r="A34" s="17" t="inlineStr">
        <is>
          <t>Subject</t>
        </is>
      </c>
      <c r="B34" s="32" t="inlineStr">
        <is>
          <t>NMES</t>
        </is>
      </c>
      <c r="C34" s="17" t="inlineStr">
        <is>
          <t>Bourbon Central</t>
        </is>
      </c>
      <c r="D34" s="17" t="inlineStr">
        <is>
          <t>Cane Ridge</t>
        </is>
      </c>
      <c r="E34" s="17" t="inlineStr">
        <is>
          <t>Paris Elem.</t>
        </is>
      </c>
      <c r="F34" s="17" t="inlineStr">
        <is>
          <t>KY elementary avg</t>
        </is>
      </c>
    </row>
    <row r="35">
      <c r="A35" s="2" t="inlineStr">
        <is>
          <t>Reading</t>
        </is>
      </c>
      <c r="B35" s="10" t="n">
        <v>41</v>
      </c>
      <c r="C35" s="10" t="n">
        <v>38</v>
      </c>
      <c r="D35" s="10" t="n">
        <v>37</v>
      </c>
      <c r="E35" s="10" t="n">
        <v>25</v>
      </c>
      <c r="F35" s="10" t="n">
        <v>49</v>
      </c>
    </row>
    <row r="36">
      <c r="A36" s="2" t="inlineStr">
        <is>
          <t>Mathematics</t>
        </is>
      </c>
      <c r="B36" s="10" t="n">
        <v>31</v>
      </c>
      <c r="C36" s="10" t="n">
        <v>28</v>
      </c>
      <c r="D36" s="10" t="n">
        <v>27</v>
      </c>
      <c r="E36" s="10" t="n">
        <v>29</v>
      </c>
      <c r="F36" s="10" t="n">
        <v>43</v>
      </c>
    </row>
    <row r="37">
      <c r="A37" s="2" t="inlineStr">
        <is>
          <t>Science</t>
        </is>
      </c>
      <c r="B37" s="10" t="n">
        <v>53</v>
      </c>
      <c r="C37" s="10" t="n">
        <v>26</v>
      </c>
      <c r="D37" s="5" t="inlineStr">
        <is>
          <t>*</t>
        </is>
      </c>
      <c r="E37" s="5" t="inlineStr">
        <is>
          <t>*</t>
        </is>
      </c>
      <c r="F37" s="10" t="n">
        <v>37</v>
      </c>
    </row>
    <row r="38">
      <c r="A38" s="2" t="inlineStr">
        <is>
          <t>Social Studies</t>
        </is>
      </c>
      <c r="B38" s="10" t="n">
        <v>36</v>
      </c>
      <c r="C38" s="10" t="n">
        <v>31</v>
      </c>
      <c r="D38" s="10" t="n">
        <v>27</v>
      </c>
      <c r="E38" s="10" t="n">
        <v>22</v>
      </c>
      <c r="F38" s="10" t="n">
        <v>38</v>
      </c>
    </row>
    <row r="39">
      <c r="A39" s="2" t="inlineStr">
        <is>
          <t>Combined Writing</t>
        </is>
      </c>
      <c r="B39" s="10" t="n">
        <v>56</v>
      </c>
      <c r="C39" s="10" t="n">
        <v>40</v>
      </c>
      <c r="D39" s="10" t="n">
        <v>27</v>
      </c>
      <c r="E39" s="10" t="n">
        <v>4</v>
      </c>
      <c r="F39" s="10" t="n">
        <v>43</v>
      </c>
    </row>
    <row r="41">
      <c r="A41" s="21" t="inlineStr">
        <is>
          <t>NMES is first among all four county elementary schools in every subject and beats the statewide elementary average in science and writing. Asterisks = state-suppressed cells.</t>
        </is>
      </c>
    </row>
    <row r="43">
      <c r="A43" s="4" t="inlineStr">
        <is>
          <t>KDE OFFICIAL HISTORY, 2011-12 TO 2024-25 (build/kde_scores_history.json)</t>
        </is>
      </c>
    </row>
    <row r="44">
      <c r="A44" s="22" t="inlineStr">
        <is>
          <t>Percent proficient or distinguished</t>
        </is>
      </c>
      <c r="B44" s="22" t="inlineStr">
        <is>
          <t>'11-12</t>
        </is>
      </c>
      <c r="C44" s="22" t="inlineStr">
        <is>
          <t>'12-13</t>
        </is>
      </c>
      <c r="D44" s="22" t="inlineStr">
        <is>
          <t>'13-14</t>
        </is>
      </c>
      <c r="E44" s="22" t="inlineStr">
        <is>
          <t>'14-15</t>
        </is>
      </c>
      <c r="F44" s="22" t="inlineStr">
        <is>
          <t>'15-16</t>
        </is>
      </c>
      <c r="G44" s="22" t="inlineStr">
        <is>
          <t>'16-17</t>
        </is>
      </c>
      <c r="H44" s="22" t="inlineStr">
        <is>
          <t>'17-18</t>
        </is>
      </c>
      <c r="I44" s="22" t="inlineStr">
        <is>
          <t>'18-19</t>
        </is>
      </c>
      <c r="J44" s="22" t="inlineStr">
        <is>
          <t>'20-21</t>
        </is>
      </c>
      <c r="K44" s="22" t="inlineStr">
        <is>
          <t>'21-22</t>
        </is>
      </c>
      <c r="L44" s="22" t="inlineStr">
        <is>
          <t>'22-23</t>
        </is>
      </c>
      <c r="M44" s="22" t="inlineStr">
        <is>
          <t>'23-24</t>
        </is>
      </c>
      <c r="N44" s="22" t="inlineStr">
        <is>
          <t>'24-25</t>
        </is>
      </c>
      <c r="T44" s="21" t="inlineStr">
        <is>
          <t>KDE historical accountability files (all students, elementary level); 2017-19 recovered from Wayback captures of KDE's retired download endpoint. 2019-20 canceled statewide; 2020-21 was a limited COVID administration. CATS-era files (2006-2011) are available from KDE by data request.</t>
        </is>
      </c>
    </row>
    <row r="45">
      <c r="A45" s="3" t="inlineStr">
        <is>
          <t>Reading: North Middletown</t>
        </is>
      </c>
      <c r="B45" s="28" t="n">
        <v>51.9</v>
      </c>
      <c r="C45" s="28" t="n">
        <v>59.7</v>
      </c>
      <c r="D45" s="28" t="n">
        <v>63.2</v>
      </c>
      <c r="E45" s="28" t="n">
        <v>53.2</v>
      </c>
      <c r="F45" s="28" t="n">
        <v>56.1</v>
      </c>
      <c r="G45" s="28" t="n">
        <v>55.6</v>
      </c>
      <c r="H45" s="28" t="n">
        <v>42.3</v>
      </c>
      <c r="I45" s="28" t="n">
        <v>48.4</v>
      </c>
      <c r="J45" s="28" t="n">
        <v>21.4</v>
      </c>
      <c r="K45" s="28" t="n">
        <v>32</v>
      </c>
      <c r="L45" s="28" t="n">
        <v>43</v>
      </c>
      <c r="M45" s="28" t="n">
        <v>45</v>
      </c>
      <c r="N45" s="28" t="n">
        <v>41</v>
      </c>
    </row>
    <row r="46">
      <c r="A46" s="3" t="inlineStr">
        <is>
          <t>Reading: Bourbon Central</t>
        </is>
      </c>
      <c r="B46" s="28" t="n">
        <v>62.1</v>
      </c>
      <c r="C46" s="28" t="n">
        <v>56.6</v>
      </c>
      <c r="D46" s="28" t="n">
        <v>61.2</v>
      </c>
      <c r="E46" s="28" t="n">
        <v>55.7</v>
      </c>
      <c r="F46" s="28" t="n">
        <v>47.9</v>
      </c>
      <c r="G46" s="28" t="n">
        <v>47.9</v>
      </c>
      <c r="H46" s="28" t="n">
        <v>49.3</v>
      </c>
      <c r="I46" s="28" t="n">
        <v>49.1</v>
      </c>
      <c r="J46" s="28" t="n">
        <v>27.1</v>
      </c>
      <c r="K46" s="28" t="n">
        <v>43</v>
      </c>
      <c r="L46" s="28" t="n">
        <v>37</v>
      </c>
      <c r="M46" s="28" t="n">
        <v>36</v>
      </c>
      <c r="N46" s="28" t="n">
        <v>38</v>
      </c>
    </row>
    <row r="47">
      <c r="A47" s="3" t="inlineStr">
        <is>
          <t>Reading: Cane Ridge</t>
        </is>
      </c>
      <c r="B47" s="28" t="n">
        <v>42.9</v>
      </c>
      <c r="C47" s="28" t="n">
        <v>47.2</v>
      </c>
      <c r="D47" s="28" t="n">
        <v>54.5</v>
      </c>
      <c r="E47" s="28" t="n">
        <v>55.3</v>
      </c>
      <c r="F47" s="28" t="n">
        <v>59.3</v>
      </c>
      <c r="G47" s="28" t="n">
        <v>57.1</v>
      </c>
      <c r="H47" s="28" t="n">
        <v>52</v>
      </c>
      <c r="I47" s="28" t="n">
        <v>49.6</v>
      </c>
      <c r="J47" s="28" t="n">
        <v>26.5</v>
      </c>
      <c r="K47" s="28" t="n">
        <v>44</v>
      </c>
      <c r="L47" s="28" t="n">
        <v>40</v>
      </c>
      <c r="M47" s="28" t="n">
        <v>40</v>
      </c>
      <c r="N47" s="28" t="n">
        <v>37</v>
      </c>
    </row>
    <row r="48">
      <c r="A48" s="3" t="inlineStr">
        <is>
          <t>Reading: Paris Elementary</t>
        </is>
      </c>
      <c r="B48" s="28" t="n">
        <v>31</v>
      </c>
      <c r="C48" s="28" t="n">
        <v>34.1</v>
      </c>
      <c r="D48" s="28" t="n">
        <v>42.9</v>
      </c>
      <c r="E48" s="28" t="n">
        <v>38.9</v>
      </c>
      <c r="F48" s="28" t="n">
        <v>41.2</v>
      </c>
      <c r="G48" s="28" t="n">
        <v>34.3</v>
      </c>
      <c r="H48" s="28" t="n">
        <v>34.4</v>
      </c>
      <c r="I48" s="28" t="n">
        <v>35.3</v>
      </c>
      <c r="J48" s="28" t="n">
        <v>25</v>
      </c>
      <c r="K48" s="28" t="n">
        <v>28</v>
      </c>
      <c r="L48" s="28" t="n">
        <v>25</v>
      </c>
      <c r="M48" s="28" t="n">
        <v>30</v>
      </c>
      <c r="N48" s="28" t="n">
        <v>25</v>
      </c>
    </row>
    <row r="49">
      <c r="A49" s="3" t="inlineStr">
        <is>
          <t>Mathematics: North Middletown</t>
        </is>
      </c>
      <c r="B49" s="28" t="n">
        <v>53.2</v>
      </c>
      <c r="C49" s="28" t="n">
        <v>49.4</v>
      </c>
      <c r="D49" s="28" t="n">
        <v>55.3</v>
      </c>
      <c r="E49" s="28" t="n">
        <v>59.5</v>
      </c>
      <c r="F49" s="28" t="n">
        <v>62.1</v>
      </c>
      <c r="G49" s="28" t="n">
        <v>50.8</v>
      </c>
      <c r="H49" s="28" t="n">
        <v>47.9</v>
      </c>
      <c r="I49" s="28" t="n">
        <v>48.4</v>
      </c>
      <c r="J49" s="28" t="n">
        <v>17.9</v>
      </c>
      <c r="K49" s="28" t="n">
        <v>31</v>
      </c>
      <c r="L49" s="28" t="n">
        <v>30</v>
      </c>
      <c r="M49" s="28" t="n">
        <v>45</v>
      </c>
      <c r="N49" s="28" t="n">
        <v>31</v>
      </c>
    </row>
    <row r="50">
      <c r="A50" s="3" t="inlineStr">
        <is>
          <t>Mathematics: Bourbon Central</t>
        </is>
      </c>
      <c r="B50" s="28" t="n">
        <v>47.1</v>
      </c>
      <c r="C50" s="28" t="n">
        <v>47.4</v>
      </c>
      <c r="D50" s="28" t="n">
        <v>43</v>
      </c>
      <c r="E50" s="28" t="n">
        <v>43.6</v>
      </c>
      <c r="F50" s="28" t="n">
        <v>40</v>
      </c>
      <c r="G50" s="28" t="n">
        <v>43.5</v>
      </c>
      <c r="H50" s="28" t="n">
        <v>41.8</v>
      </c>
      <c r="I50" s="28" t="n">
        <v>45.1</v>
      </c>
      <c r="J50" s="28" t="n">
        <v>31.7</v>
      </c>
      <c r="K50" s="28" t="n">
        <v>27</v>
      </c>
      <c r="L50" s="28" t="n">
        <v>28</v>
      </c>
      <c r="M50" s="28" t="n">
        <v>23</v>
      </c>
      <c r="N50" s="28" t="n">
        <v>28</v>
      </c>
    </row>
    <row r="51">
      <c r="A51" s="3" t="inlineStr">
        <is>
          <t>Mathematics: Cane Ridge</t>
        </is>
      </c>
      <c r="B51" s="28" t="n">
        <v>33.3</v>
      </c>
      <c r="C51" s="28" t="n">
        <v>37.7</v>
      </c>
      <c r="D51" s="28" t="n">
        <v>43.1</v>
      </c>
      <c r="E51" s="28" t="n">
        <v>46.1</v>
      </c>
      <c r="F51" s="28" t="n">
        <v>54.4</v>
      </c>
      <c r="G51" s="28" t="n">
        <v>45.9</v>
      </c>
      <c r="H51" s="28" t="n">
        <v>41.5</v>
      </c>
      <c r="I51" s="28" t="n">
        <v>39</v>
      </c>
      <c r="J51" s="28" t="n">
        <v>25.2</v>
      </c>
      <c r="K51" s="28" t="n">
        <v>33</v>
      </c>
      <c r="L51" s="28" t="n">
        <v>35</v>
      </c>
      <c r="M51" s="28" t="n">
        <v>30</v>
      </c>
      <c r="N51" s="28" t="n">
        <v>27</v>
      </c>
    </row>
    <row r="52">
      <c r="A52" s="3" t="inlineStr">
        <is>
          <t>Mathematics: Paris Elementary</t>
        </is>
      </c>
      <c r="B52" s="28" t="n">
        <v>29.7</v>
      </c>
      <c r="C52" s="28" t="n">
        <v>25</v>
      </c>
      <c r="D52" s="28" t="n">
        <v>26.8</v>
      </c>
      <c r="E52" s="28" t="n">
        <v>22.9</v>
      </c>
      <c r="F52" s="28" t="n">
        <v>41.9</v>
      </c>
      <c r="G52" s="28" t="n">
        <v>28.7</v>
      </c>
      <c r="H52" s="28" t="n">
        <v>30</v>
      </c>
      <c r="I52" s="28" t="n">
        <v>32</v>
      </c>
      <c r="J52" s="28" t="n">
        <v>15.3</v>
      </c>
      <c r="K52" s="28" t="n">
        <v>23</v>
      </c>
      <c r="L52" s="28" t="n">
        <v>32</v>
      </c>
      <c r="M52" s="28" t="n">
        <v>27</v>
      </c>
      <c r="N52" s="28" t="n">
        <v>29</v>
      </c>
    </row>
    <row r="53">
      <c r="A53" s="21" t="inlineStr">
        <is>
          <t>NMES led the county in mathematics in every pre-COVID administration on record, 2011-12 through 2018-19: eight straight years.</t>
        </is>
      </c>
    </row>
    <row r="55">
      <c r="A55" s="22" t="inlineStr">
        <is>
          <t>Official overall score</t>
        </is>
      </c>
      <c r="B55" s="22" t="inlineStr">
        <is>
          <t>'11-12</t>
        </is>
      </c>
      <c r="C55" s="22" t="inlineStr">
        <is>
          <t>'12-13</t>
        </is>
      </c>
      <c r="D55" s="22" t="inlineStr">
        <is>
          <t>'13-14</t>
        </is>
      </c>
      <c r="E55" s="22" t="inlineStr">
        <is>
          <t>'14-15</t>
        </is>
      </c>
      <c r="F55" s="22" t="inlineStr">
        <is>
          <t>'15-16</t>
        </is>
      </c>
      <c r="G55" s="22" t="inlineStr">
        <is>
          <t>'16-17</t>
        </is>
      </c>
      <c r="H55" s="22" t="inlineStr">
        <is>
          <t>'17-18</t>
        </is>
      </c>
      <c r="I55" s="22" t="inlineStr">
        <is>
          <t>'18-19</t>
        </is>
      </c>
      <c r="J55" s="22" t="inlineStr">
        <is>
          <t>'20-21</t>
        </is>
      </c>
      <c r="K55" s="22" t="inlineStr">
        <is>
          <t>'21-22</t>
        </is>
      </c>
      <c r="L55" s="22" t="inlineStr">
        <is>
          <t>'22-23</t>
        </is>
      </c>
      <c r="M55" s="22" t="inlineStr">
        <is>
          <t>'23-24</t>
        </is>
      </c>
      <c r="N55" s="22" t="inlineStr">
        <is>
          <t>'24-25</t>
        </is>
      </c>
      <c r="T55" s="21" t="inlineStr">
        <is>
          <t>Unbridled Learning overall score 2011-12 to 2015-16 (state classifications noted below); KSA overall indicator rate 2021-22 to 2024-25. The two scales are not comparable to each other. No overall score was issued 2016-17 through 2020-21 by design.</t>
        </is>
      </c>
    </row>
    <row r="56">
      <c r="A56" s="3" t="inlineStr">
        <is>
          <t>North Middletown</t>
        </is>
      </c>
      <c r="B56" s="28" t="n">
        <v>62.6</v>
      </c>
      <c r="C56" s="28" t="n">
        <v>68.8</v>
      </c>
      <c r="D56" s="28" t="n">
        <v>71.40000000000001</v>
      </c>
      <c r="E56" s="28" t="n">
        <v>72.09999999999999</v>
      </c>
      <c r="F56" s="28" t="n">
        <v>79.09999999999999</v>
      </c>
      <c r="K56" s="28" t="n">
        <v>51.9</v>
      </c>
      <c r="L56" s="28" t="n">
        <v>62.2</v>
      </c>
      <c r="M56" s="28" t="n">
        <v>74.5</v>
      </c>
      <c r="N56" s="28" t="n">
        <v>54</v>
      </c>
    </row>
    <row r="57">
      <c r="A57" s="3" t="inlineStr">
        <is>
          <t>Bourbon Central</t>
        </is>
      </c>
      <c r="B57" s="28" t="n">
        <v>63.2</v>
      </c>
      <c r="C57" s="28" t="n">
        <v>63</v>
      </c>
      <c r="D57" s="28" t="n">
        <v>69.8</v>
      </c>
      <c r="E57" s="28" t="n">
        <v>67.8</v>
      </c>
      <c r="F57" s="28" t="n">
        <v>56.8</v>
      </c>
      <c r="K57" s="28" t="n">
        <v>52.8</v>
      </c>
      <c r="L57" s="28" t="n">
        <v>56.7</v>
      </c>
      <c r="M57" s="28" t="n">
        <v>50.3</v>
      </c>
      <c r="N57" s="28" t="n">
        <v>55.4</v>
      </c>
    </row>
    <row r="58">
      <c r="A58" s="3" t="inlineStr">
        <is>
          <t>Cane Ridge</t>
        </is>
      </c>
      <c r="B58" s="28" t="n">
        <v>53.3</v>
      </c>
      <c r="C58" s="28" t="n">
        <v>58.9</v>
      </c>
      <c r="D58" s="28" t="n">
        <v>69.2</v>
      </c>
      <c r="E58" s="28" t="n">
        <v>68.5</v>
      </c>
      <c r="F58" s="28" t="n">
        <v>65.5</v>
      </c>
      <c r="K58" s="28" t="n">
        <v>54.3</v>
      </c>
      <c r="L58" s="28" t="n">
        <v>51.8</v>
      </c>
      <c r="M58" s="28" t="n">
        <v>60.7</v>
      </c>
      <c r="N58" s="28" t="n">
        <v>47.8</v>
      </c>
    </row>
    <row r="59">
      <c r="A59" s="3" t="inlineStr">
        <is>
          <t>Paris Elementary</t>
        </is>
      </c>
      <c r="B59" s="28" t="n">
        <v>48</v>
      </c>
      <c r="C59" s="28" t="n">
        <v>49.9</v>
      </c>
      <c r="D59" s="28" t="n">
        <v>59.4</v>
      </c>
      <c r="E59" s="28" t="n">
        <v>54.8</v>
      </c>
      <c r="F59" s="28" t="n">
        <v>69.59999999999999</v>
      </c>
      <c r="K59" s="28" t="n">
        <v>46.1</v>
      </c>
      <c r="L59" s="28" t="n">
        <v>45.9</v>
      </c>
      <c r="M59" s="28" t="n">
        <v>40.7</v>
      </c>
      <c r="N59" s="28" t="n">
        <v>41.9</v>
      </c>
    </row>
    <row r="60">
      <c r="A60" s="21" t="inlineStr">
        <is>
          <t>Classifications: NMES rated Proficient 2012-2015 and Distinguished in 2015-16 at 79.1, the county's only Distinguished elementary rating in the files retrieved. In 2023-24 NMES posted 74.5, first in the county by 14 points.</t>
        </is>
      </c>
    </row>
    <row r="62">
      <c r="A62" s="21" t="inlineStr">
        <is>
          <t>Third-party check: the SchoolDigger index above correlates about 0.9 with these official results for Bourbon Central and Cane Ridge but only weakly for NMES, and it names the wrong county leader in three of the ten overlapping years. The official record governs.</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52"/>
  <sheetViews>
    <sheetView showGridLines="1" workbookViewId="0">
      <selection activeCell="A1" sqref="A1"/>
    </sheetView>
  </sheetViews>
  <sheetFormatPr baseColWidth="8" defaultRowHeight="15"/>
  <cols>
    <col width="42" customWidth="1" min="1" max="1"/>
    <col width="12" customWidth="1" min="2" max="2"/>
    <col width="12" customWidth="1" min="3" max="3"/>
    <col width="12" customWidth="1" min="4" max="4"/>
    <col width="12" customWidth="1" min="5" max="5"/>
    <col width="50" customWidth="1" min="6" max="6"/>
  </cols>
  <sheetData>
    <row r="1">
      <c r="A1" s="1" t="inlineStr">
        <is>
          <t>What the District's Own Facility Plans Show</t>
        </is>
      </c>
    </row>
    <row r="2">
      <c r="A2" s="21" t="inlineStr">
        <is>
          <t>Sources: District Facilities Plan, KBE approval June 2013 (Wayback Machine capture) and District Facility Plan, KBE approval August 2021 (currently posted; next plan due June 2025). Both archived in this repository under build/. Figures read enrollment/capacity; the 2021 preschool line (272/200, with the plan's note of 80 full-day plus 192 half-day students) confirms the order.</t>
        </is>
      </c>
    </row>
    <row r="4">
      <c r="A4" s="17" t="inlineStr">
        <is>
          <t>School</t>
        </is>
      </c>
      <c r="B4" s="17" t="inlineStr">
        <is>
          <t>2013 enr</t>
        </is>
      </c>
      <c r="C4" s="17" t="inlineStr">
        <is>
          <t>2013 cap</t>
        </is>
      </c>
      <c r="D4" s="17" t="inlineStr">
        <is>
          <t>2021 enr</t>
        </is>
      </c>
      <c r="E4" s="17" t="inlineStr">
        <is>
          <t>2021 cap</t>
        </is>
      </c>
      <c r="F4" s="17" t="inlineStr">
        <is>
          <t>Note</t>
        </is>
      </c>
    </row>
    <row r="5">
      <c r="A5" s="2" t="inlineStr">
        <is>
          <t>Bourbon County High School</t>
        </is>
      </c>
      <c r="B5" s="10" t="n">
        <v>881</v>
      </c>
      <c r="C5" s="10" t="n">
        <v>637</v>
      </c>
      <c r="D5" s="10" t="n">
        <v>799</v>
      </c>
      <c r="E5" s="10" t="n">
        <v>704</v>
      </c>
      <c r="F5" s="2" t="inlineStr">
        <is>
          <t>Rating rose 637 to 704 between plans; the CTC addition was the 2022-24 in-biennium priority</t>
        </is>
      </c>
    </row>
    <row r="6">
      <c r="A6" s="2" t="inlineStr">
        <is>
          <t>Bourbon County Middle School</t>
        </is>
      </c>
      <c r="B6" s="10" t="n">
        <v>616</v>
      </c>
      <c r="C6" s="10" t="n">
        <v>515</v>
      </c>
      <c r="D6" s="10" t="n">
        <v>640</v>
      </c>
      <c r="E6" s="10" t="n">
        <v>641</v>
      </c>
      <c r="F6" s="2" t="inlineStr"/>
    </row>
    <row r="7">
      <c r="A7" s="2" t="inlineStr">
        <is>
          <t>Bourbon Central Elementary</t>
        </is>
      </c>
      <c r="B7" s="10" t="n">
        <v>602</v>
      </c>
      <c r="C7" s="10" t="n">
        <v>564</v>
      </c>
      <c r="D7" s="10" t="n">
        <v>535</v>
      </c>
      <c r="E7" s="10" t="n">
        <v>521</v>
      </c>
      <c r="F7" s="2" t="inlineStr">
        <is>
          <t>Rated capacity 549, reflecting the addition in the 2021 plan</t>
        </is>
      </c>
    </row>
    <row r="8">
      <c r="A8" s="2" t="inlineStr">
        <is>
          <t>Cane Ridge Elementary</t>
        </is>
      </c>
      <c r="B8" s="10" t="n">
        <v>461</v>
      </c>
      <c r="C8" s="10" t="n">
        <v>500</v>
      </c>
      <c r="D8" s="10" t="n">
        <v>480</v>
      </c>
      <c r="E8" s="10" t="n">
        <v>422</v>
      </c>
      <c r="F8" s="2" t="inlineStr">
        <is>
          <t>Rated capacity written down 78 seats between plans</t>
        </is>
      </c>
    </row>
    <row r="9">
      <c r="A9" s="2" t="inlineStr">
        <is>
          <t>North Middletown Elementary</t>
        </is>
      </c>
      <c r="B9" s="10" t="n">
        <v>169</v>
      </c>
      <c r="C9" s="10" t="n">
        <v>198</v>
      </c>
      <c r="D9" s="10" t="n">
        <v>161</v>
      </c>
      <c r="E9" s="10" t="n">
        <v>174</v>
      </c>
      <c r="F9" s="2" t="inlineStr">
        <is>
          <t>Written down again to 154 in the 2026 draft; building held 261 students at the 1989 peak</t>
        </is>
      </c>
    </row>
    <row r="10">
      <c r="A10" s="2" t="inlineStr">
        <is>
          <t>Preschool/Head Start Center</t>
        </is>
      </c>
      <c r="B10" s="10" t="n">
        <v>296</v>
      </c>
      <c r="C10" s="10" t="n">
        <v>180</v>
      </c>
      <c r="D10" s="10" t="n">
        <v>272</v>
      </c>
      <c r="E10" s="10" t="n">
        <v>200</v>
      </c>
      <c r="F10" s="2" t="inlineStr">
        <is>
          <t>Over capacity in both plans</t>
        </is>
      </c>
    </row>
    <row r="12">
      <c r="A12" s="4" t="inlineStr">
        <is>
          <t>RECEIVING CAPACITY TODAY (current ratings vs 2024-25 enrollment)</t>
        </is>
      </c>
    </row>
    <row r="13">
      <c r="A13" s="3" t="inlineStr">
        <is>
          <t>Bourbon Central open seats at rated 549</t>
        </is>
      </c>
      <c r="B13" s="11">
        <f>549-Redistricting!B8</f>
        <v/>
      </c>
    </row>
    <row r="14">
      <c r="A14" s="3" t="inlineStr">
        <is>
          <t>Cane Ridge students over rated 422</t>
        </is>
      </c>
      <c r="B14" s="11">
        <f>Redistricting!B9-E8</f>
        <v/>
      </c>
    </row>
    <row r="15">
      <c r="A15" s="3" t="inlineStr">
        <is>
          <t>Net uncommitted seats at both receiving schools</t>
        </is>
      </c>
      <c r="B15" s="33">
        <f>B13-B14</f>
        <v/>
      </c>
    </row>
    <row r="16">
      <c r="A16" s="3" t="inlineStr">
        <is>
          <t>NMES students needing seats on closure</t>
        </is>
      </c>
      <c r="B16" s="25">
        <f>Assumptions!B11</f>
        <v/>
      </c>
    </row>
    <row r="17">
      <c r="A17" s="3" t="inlineStr">
        <is>
          <t>Shortfall if closure proceeds today</t>
        </is>
      </c>
      <c r="B17" s="33">
        <f>B16-B15</f>
        <v/>
      </c>
    </row>
    <row r="20">
      <c r="A20" s="4" t="inlineStr">
        <is>
          <t>NMES INVESTMENT RECORD IN THE PLANS</t>
        </is>
      </c>
    </row>
    <row r="21">
      <c r="A21" s="3" t="inlineStr">
        <is>
          <t>2013 plan: NMES major renovation priced (HVAC, media center, kitchen, security vestibule, gym)</t>
        </is>
      </c>
      <c r="B21" s="8" t="n">
        <v>1594872</v>
      </c>
      <c r="C21" s="8" t="n">
        <v>239139</v>
      </c>
      <c r="D21" s="8" t="n">
        <v>86959</v>
      </c>
      <c r="E21" s="9">
        <f>SUM(B21:D21)</f>
        <v/>
      </c>
      <c r="F21" s="2" t="inlineStr">
        <is>
          <t>Base renovation + special ed classroom + family resource center</t>
        </is>
      </c>
    </row>
    <row r="22">
      <c r="A22" s="3" t="inlineStr">
        <is>
          <t>2021 plan: NMES need re-priced (life safety + accessibility ramp/elevator + major renovation)</t>
        </is>
      </c>
      <c r="B22" s="8" t="n">
        <v>317660</v>
      </c>
      <c r="C22" s="8" t="n">
        <v>325000</v>
      </c>
      <c r="D22" s="8" t="n">
        <v>3617530</v>
      </c>
      <c r="E22" s="9">
        <f>SUM(B22:D22)</f>
        <v/>
      </c>
      <c r="F22" s="2" t="inlineStr">
        <is>
          <t>Life safety and accessibility ($642,660) within the 2022-24 biennium; the $3.62M major renovation after it; the biennium's headline priority was the HS Career &amp; Technical Center</t>
        </is>
      </c>
    </row>
    <row r="23">
      <c r="A23" s="3" t="inlineStr">
        <is>
          <t>2021 plan: HS Career &amp; Technical Center, in-biennium new construction</t>
        </is>
      </c>
      <c r="B23" s="9">
        <f>227149+1447694+1150886+1075170+772305+832878+1150886</f>
        <v/>
      </c>
    </row>
    <row r="24">
      <c r="A24" s="3" t="inlineStr">
        <is>
          <t>2021 plan: total district facility need</t>
        </is>
      </c>
      <c r="B24" s="8" t="n">
        <v>43389464</v>
      </c>
    </row>
    <row r="26">
      <c r="A26" s="21" t="inlineStr">
        <is>
          <t>Reading: the receiving schools' rated capacities are 549 (Bourbon Central) and 422 (Cane Ridge). At current enrollment that is 90 open at Bourbon Central and 31 over at Cane Ridge, a net 59 uncommitted seats for 128 children. NMES's major renovation was priced in 2013 and re-priced higher in 2021, each time scheduled after the then-current biennium. Its rated capacity fell 198 to 174 between the same two plans while its enrollment fell 169 to 128.</t>
        </is>
      </c>
    </row>
    <row r="28">
      <c r="A28" s="4" t="inlineStr">
        <is>
          <t>THE 2026 DRAFT (presented July 15, 2026, before the committee's amendment; KDE approval date TBD; KFICS capacity basis)</t>
        </is>
      </c>
    </row>
    <row r="29">
      <c r="A29" s="17" t="inlineStr">
        <is>
          <t>School</t>
        </is>
      </c>
      <c r="B29" s="17" t="inlineStr">
        <is>
          <t>2023-24 SAAR</t>
        </is>
      </c>
      <c r="C29" s="17" t="inlineStr">
        <is>
          <t>Draft capacity (KFICS)</t>
        </is>
      </c>
      <c r="D29" s="17" t="inlineStr">
        <is>
          <t>Change vs 2021 rating</t>
        </is>
      </c>
    </row>
    <row r="30">
      <c r="A30" s="3" t="inlineStr">
        <is>
          <t>Bourbon Central</t>
        </is>
      </c>
      <c r="B30" s="10" t="n">
        <v>491</v>
      </c>
      <c r="C30" s="10" t="n">
        <v>640</v>
      </c>
      <c r="D30" s="11">
        <f>C30-549</f>
        <v/>
      </c>
    </row>
    <row r="31">
      <c r="A31" s="3" t="inlineStr">
        <is>
          <t>Cane Ridge</t>
        </is>
      </c>
      <c r="B31" s="10" t="n">
        <v>461</v>
      </c>
      <c r="C31" s="10" t="n">
        <v>547</v>
      </c>
      <c r="D31" s="11">
        <f>C31-E8</f>
        <v/>
      </c>
    </row>
    <row r="32">
      <c r="A32" s="3" t="inlineStr">
        <is>
          <t>North Middletown</t>
        </is>
      </c>
      <c r="B32" s="25" t="n">
        <v>128</v>
      </c>
      <c r="C32" s="10" t="n">
        <v>154</v>
      </c>
      <c r="D32" s="11">
        <f>C32-E9</f>
        <v/>
      </c>
    </row>
    <row r="33">
      <c r="A33" s="3" t="inlineStr">
        <is>
          <t>Paper seats added at the receiving schools, with the draft's new-construction sections reading None</t>
        </is>
      </c>
      <c r="B33" s="33">
        <f>D30+D31</f>
        <v/>
      </c>
    </row>
    <row r="34">
      <c r="A34" s="3" t="inlineStr">
        <is>
          <t>NMES fill rate even at the draft's own 154 rating</t>
        </is>
      </c>
      <c r="B34" s="34">
        <f>B32/C32</f>
        <v/>
      </c>
    </row>
    <row r="35">
      <c r="A35" s="21" t="inlineStr">
        <is>
          <t>As presented, the draft still listed North Middletown as Permanent (PS-5). Its headline 2026-28 priority is an $18,600,946 major renovation of the high school's 1968 and 1981 sections. Annotated attendee copy archived as build/dfp_2026_draft_excerpt.png.</t>
        </is>
      </c>
    </row>
    <row r="37">
      <c r="A37" s="4" t="inlineStr">
        <is>
          <t>KFICS ASSESSMENT (RossTarrant Architects, presented July 2026; slides archived as build/kfics_assessment.pdf)</t>
        </is>
      </c>
    </row>
    <row r="38">
      <c r="A38" s="17" t="inlineStr">
        <is>
          <t>Facility</t>
        </is>
      </c>
      <c r="B38" s="17" t="inlineStr">
        <is>
          <t>Condition need</t>
        </is>
      </c>
      <c r="C38" s="17" t="inlineStr">
        <is>
          <t>Instructional deficiency</t>
        </is>
      </c>
      <c r="D38" s="17" t="inlineStr">
        <is>
          <t>Total (as printed)</t>
        </is>
      </c>
      <c r="E38" s="17" t="inlineStr">
        <is>
          <t>Slide capacity</t>
        </is>
      </c>
    </row>
    <row r="39">
      <c r="A39" s="3" t="inlineStr">
        <is>
          <t>Bourbon County High School</t>
        </is>
      </c>
      <c r="B39" s="8" t="n">
        <v>22300342</v>
      </c>
      <c r="C39" s="8" t="n">
        <v>5188113</v>
      </c>
      <c r="D39" s="8" t="n">
        <v>27488455</v>
      </c>
      <c r="E39" s="10" t="n">
        <v>704</v>
      </c>
    </row>
    <row r="40">
      <c r="A40" s="3" t="inlineStr">
        <is>
          <t>Bourbon County Middle School</t>
        </is>
      </c>
      <c r="B40" s="8" t="n">
        <v>19132586</v>
      </c>
      <c r="C40" s="8" t="n">
        <v>3286105</v>
      </c>
      <c r="D40" s="8" t="n">
        <v>22418692</v>
      </c>
      <c r="E40" s="10" t="n">
        <v>544</v>
      </c>
    </row>
    <row r="41">
      <c r="A41" s="3" t="inlineStr">
        <is>
          <t>Cane Ridge Elementary</t>
        </is>
      </c>
      <c r="B41" s="8" t="n">
        <v>10313658</v>
      </c>
      <c r="C41" s="8" t="n">
        <v>4073936</v>
      </c>
      <c r="D41" s="8" t="n">
        <v>14387595</v>
      </c>
      <c r="E41" s="10" t="n">
        <v>397</v>
      </c>
    </row>
    <row r="42">
      <c r="A42" s="3" t="inlineStr">
        <is>
          <t>Bourbon Central Elementary</t>
        </is>
      </c>
      <c r="B42" s="8" t="n">
        <v>7214895</v>
      </c>
      <c r="C42" s="8" t="n">
        <v>1615951</v>
      </c>
      <c r="D42" s="8" t="n">
        <v>8840267</v>
      </c>
      <c r="E42" s="10" t="n">
        <v>499</v>
      </c>
    </row>
    <row r="43">
      <c r="A43" s="3" t="inlineStr">
        <is>
          <t>North Middletown Elementary</t>
        </is>
      </c>
      <c r="B43" s="8" t="n">
        <v>5648434</v>
      </c>
      <c r="C43" s="8" t="n">
        <v>2881659</v>
      </c>
      <c r="D43" s="8" t="n">
        <v>8530093</v>
      </c>
      <c r="E43" s="10" t="n">
        <v>154</v>
      </c>
    </row>
    <row r="44">
      <c r="A44" s="3" t="inlineStr">
        <is>
          <t>Preschool/Head Start Center</t>
        </is>
      </c>
      <c r="B44" s="8" t="n">
        <v>1518664</v>
      </c>
      <c r="C44" s="8" t="n">
        <v>6343032</v>
      </c>
      <c r="D44" s="8" t="n">
        <v>7861696</v>
      </c>
      <c r="E44" s="10" t="n">
        <v>160</v>
      </c>
    </row>
    <row r="45">
      <c r="A45" s="3" t="inlineStr">
        <is>
          <t>Agriculture Building (part of BCHS)</t>
        </is>
      </c>
      <c r="B45" s="8" t="n">
        <v>1825444</v>
      </c>
      <c r="C45" s="8" t="n">
        <v>0</v>
      </c>
      <c r="D45" s="8" t="n">
        <v>1825444</v>
      </c>
    </row>
    <row r="46">
      <c r="A46" s="3" t="inlineStr">
        <is>
          <t>School centers total</t>
        </is>
      </c>
      <c r="B46" s="23">
        <f>SUM(D39:D45)</f>
        <v/>
      </c>
    </row>
    <row r="47">
      <c r="A47" s="3" t="inlineStr">
        <is>
          <t>Support facilities total (slide)</t>
        </is>
      </c>
      <c r="B47" s="8" t="n">
        <v>7089052</v>
      </c>
    </row>
    <row r="48">
      <c r="A48" s="3" t="inlineStr">
        <is>
          <t>District total need</t>
        </is>
      </c>
      <c r="B48" s="23">
        <f>B46+B47</f>
        <v/>
      </c>
    </row>
    <row r="49">
      <c r="A49" s="3" t="inlineStr">
        <is>
          <t>Receiving schools combined (Bourbon Central + Cane Ridge)</t>
        </is>
      </c>
      <c r="B49" s="23">
        <f>D41+D42</f>
        <v/>
      </c>
    </row>
    <row r="50">
      <c r="A50" s="3" t="inlineStr">
        <is>
          <t>Net receiving seats at the slides' own capacities (499 and 397)</t>
        </is>
      </c>
      <c r="B50" s="33">
        <f>(499-Redistricting!B8)-(Redistricting!B9-397)</f>
        <v/>
      </c>
    </row>
    <row r="52">
      <c r="A52" s="21" t="inlineStr">
        <is>
          <t>Notes: components and totals as printed on the slides; Bourbon Central's printed components sum $9,421 below its printed total. The slides' receiving-school capacities (499, 397) differ from the 2026 draft DFP table (640, 547) and from the approved 2021 plan (549 with addition, 422): three documents, three capacity sets for the same buildings. NMES total need is second lowest among the district's schools.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2026-07-23T06:41:49Z</dcterms:created>
  <dcterms:modified xsi:type="dcterms:W3CDTF">2026-07-23T06:41:49Z</dcterms:modified>
</cp:coreProperties>
</file>