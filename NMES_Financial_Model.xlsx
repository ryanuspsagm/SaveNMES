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4"/>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yield per year (5 cents per $100)</t>
        </is>
      </c>
      <c r="B66" s="9">
        <f>B65*0.0005</f>
        <v/>
      </c>
    </row>
    <row r="67">
      <c r="A67" s="3" t="inlineStr">
        <is>
          <t>Bonds a nickel supports before state FSPK equalization</t>
        </is>
      </c>
      <c r="B67" s="9">
        <f>B66*(1-(1+B40)^-B41)/B40</f>
        <v/>
      </c>
      <c r="F67" s="21" t="inlineStr">
        <is>
          <t>FSPK equalization adds state dollars on top; KDE's tables set the amount</t>
        </is>
      </c>
    </row>
    <row r="68">
      <c r="A68" s="3" t="inlineStr">
        <is>
          <t>SFCC offers of assistance, typical cycle</t>
        </is>
      </c>
      <c r="B68" s="8" t="n">
        <v>1750000</v>
      </c>
      <c r="F68" s="21" t="inlineStr">
        <is>
          <t>State already pays $1,568,809 of current principal</t>
        </is>
      </c>
    </row>
    <row r="70">
      <c r="A70" s="4" t="inlineStr">
        <is>
          <t>FY2026 YEAR-END, DISTRICT'S OWN KDE BUDGET MONITORING TOOL (UNAUDITED)</t>
        </is>
      </c>
    </row>
    <row r="71">
      <c r="A71" s="2" t="inlineStr">
        <is>
          <t>June 2026 financial packet, board agenda July 16, 2026; MUNIS run July 15, 2026. Audit will finalize these figures.</t>
        </is>
      </c>
    </row>
    <row r="72">
      <c r="A72" s="3" t="inlineStr">
        <is>
          <t>General Fund revenue, FY2026 actual (excludes carryforward and on-behalf)</t>
        </is>
      </c>
      <c r="B72" s="8" t="n">
        <v>22103877</v>
      </c>
    </row>
    <row r="73">
      <c r="A73" s="3" t="inlineStr">
        <is>
          <t>General Fund expenditures, FY2026 actual</t>
        </is>
      </c>
      <c r="B73" s="8" t="n">
        <v>22477866</v>
      </c>
    </row>
    <row r="74">
      <c r="A74" s="3" t="inlineStr">
        <is>
          <t>Net General Fund change, FY2026 (unaudited)</t>
        </is>
      </c>
      <c r="B74" s="30">
        <f>B72-B73</f>
        <v/>
      </c>
      <c r="F74" s="21" t="inlineStr">
        <is>
          <t>Compare net changes of -$1,065,657 in FY2024 and -$1,225,465 in FY2025 (audited)</t>
        </is>
      </c>
    </row>
    <row r="75">
      <c r="A75" s="3" t="inlineStr">
        <is>
          <t>Revenues over budget per the monitoring tool</t>
        </is>
      </c>
      <c r="B75" s="8" t="n">
        <v>2225835</v>
      </c>
    </row>
    <row r="76">
      <c r="A76" s="3" t="inlineStr">
        <is>
          <t>Salaries under budget per the monitoring tool</t>
        </is>
      </c>
      <c r="B76" s="8" t="n">
        <v>587592</v>
      </c>
    </row>
    <row r="77">
      <c r="A77" s="3" t="inlineStr">
        <is>
          <t>Salaries below FY2025 actuals</t>
        </is>
      </c>
      <c r="B77" s="8" t="n">
        <v>223974</v>
      </c>
    </row>
    <row r="78">
      <c r="A78" s="3" t="inlineStr">
        <is>
          <t>Caveat: miscellaneous revenue budgeted at zero, received</t>
        </is>
      </c>
      <c r="B78" s="8" t="n">
        <v>1567829</v>
      </c>
      <c r="F78" s="21" t="inlineStr">
        <is>
          <t>If one-time, the underlying gap is about $1.9 million; the district should identify this receipt</t>
        </is>
      </c>
    </row>
    <row r="80">
      <c r="A80" s="4" t="inlineStr">
        <is>
          <t>SCENARIO: BALANCE THE BUDGET AND EXPAND BONDING CAPACITY, NO CLOSURE</t>
        </is>
      </c>
    </row>
    <row r="81">
      <c r="A81" s="2" t="inlineStr">
        <is>
          <t>Two cases differ only in the operating gap assumed. Conservative treats the FY2026 $1.57M receipt as one-time;</t>
        </is>
      </c>
    </row>
    <row r="82">
      <c r="A82" s="2" t="inlineStr">
        <is>
          <t>trend uses the unaudited FY2026 net change. Operations are balanced first; only the remainder services debt.</t>
        </is>
      </c>
    </row>
    <row r="83">
      <c r="B83" s="17" t="inlineStr">
        <is>
          <t>Conservative</t>
        </is>
      </c>
      <c r="C83" s="17" t="inlineStr">
        <is>
          <t>FY2026 trend</t>
        </is>
      </c>
    </row>
    <row r="84">
      <c r="A84" s="3" t="inlineStr">
        <is>
          <t>Operating gap to close first</t>
        </is>
      </c>
      <c r="B84" s="8" t="n">
        <v>1900000</v>
      </c>
      <c r="C84" s="8" t="n">
        <v>373989</v>
      </c>
      <c r="F84" s="21" t="inlineStr">
        <is>
          <t>Editable. $1.9M = FY2026 result excluding the unidentified receipt; $373,989 = FY2026 unaudited net change</t>
        </is>
      </c>
    </row>
    <row r="85">
      <c r="A85" s="3" t="inlineStr">
        <is>
          <t>New recurring revenue: 4 percent levy taken three years running</t>
        </is>
      </c>
      <c r="B85" s="18">
        <f>Tax_History!B32*(1.04^3-1)</f>
        <v/>
      </c>
      <c r="C85" s="18">
        <f>Tax_History!B32*(1.04^3-1)</f>
        <v/>
      </c>
      <c r="F85" s="21" t="inlineStr">
        <is>
          <t>Same base and compounding as the levy tab; year 1 is $313,162, year 3 cumulative $977,568</t>
        </is>
      </c>
    </row>
    <row r="86">
      <c r="A86" s="3" t="inlineStr">
        <is>
          <t>Recurring cost reductions, not from closing a school</t>
        </is>
      </c>
      <c r="B86" s="8" t="n">
        <v>1000000</v>
      </c>
      <c r="C86" s="8" t="n">
        <v>1000000</v>
      </c>
      <c r="F86" s="21" t="inlineStr">
        <is>
          <t>Editable. For scale from the FY2025 audit: district administration grew $221K in one year, salaries fell $224K through attrition, spending ran $859K under budget</t>
        </is>
      </c>
    </row>
    <row r="87">
      <c r="A87" s="3" t="inlineStr">
        <is>
          <t>Operating room left for debt service after the budget balances</t>
        </is>
      </c>
      <c r="B87" s="9">
        <f>MAX(0,B85+B86-B84)</f>
        <v/>
      </c>
      <c r="C87" s="9">
        <f>MAX(0,C85+C86-C84)</f>
        <v/>
      </c>
    </row>
    <row r="88">
      <c r="A88" s="3" t="inlineStr">
        <is>
          <t>General-fund bond capacity from that room</t>
        </is>
      </c>
      <c r="B88" s="9">
        <f>B87*(1-(1+B$40)^-B$41)/B$40</f>
        <v/>
      </c>
      <c r="C88" s="9">
        <f>C87*(1-(1+B$40)^-B$41)/B$40</f>
        <v/>
      </c>
    </row>
    <row r="89">
      <c r="A89" s="3" t="inlineStr">
        <is>
          <t>Recallable nickel yield, restricted, before FSPK equalization</t>
        </is>
      </c>
      <c r="B89" s="9">
        <f>B65*0.0005</f>
        <v/>
      </c>
      <c r="C89" s="9">
        <f>B65*0.0005</f>
        <v/>
      </c>
    </row>
    <row r="90">
      <c r="A90" s="3" t="inlineStr">
        <is>
          <t>Bond capacity from the nickel</t>
        </is>
      </c>
      <c r="B90" s="9">
        <f>B89*(1-(1+B$40)^-B$41)/B$40</f>
        <v/>
      </c>
      <c r="C90" s="9">
        <f>C89*(1-(1+B$40)^-B$41)/B$40</f>
        <v/>
      </c>
    </row>
    <row r="91">
      <c r="A91" s="3" t="inlineStr">
        <is>
          <t>Existing unused restricted capacity, approximate</t>
        </is>
      </c>
      <c r="B91" s="8" t="n">
        <v>17600000</v>
      </c>
      <c r="C91" s="8" t="n">
        <v>17600000</v>
      </c>
      <c r="F91" s="21" t="inlineStr">
        <is>
          <t>FY2024 audit $23.5M less local share of the 2024 issue; fiscal agent's statement is the authority</t>
        </is>
      </c>
    </row>
    <row r="92">
      <c r="A92" s="22" t="inlineStr">
        <is>
          <t>Total capacity available without closing a school</t>
        </is>
      </c>
      <c r="B92" s="24">
        <f>B88+B90+B91</f>
        <v/>
      </c>
      <c r="C92" s="24">
        <f>C88+C90+C91</f>
        <v/>
      </c>
    </row>
    <row r="93">
      <c r="A93" s="2" t="inlineStr">
        <is>
          <t>Roughly $30.6 million in the conservative case and $50.4 million on the FY2026 trend, with the budget balanced</t>
        </is>
      </c>
    </row>
    <row r="94">
      <c r="A94" s="2" t="inlineStr">
        <is>
          <t>first in both. The administration's plan reaches $32 million at face value and leaves the deficit in place.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2026-07-23T14:13:49Z</dcterms:created>
  <dcterms:modified xsi:type="dcterms:W3CDTF">2026-07-23T14:13:49Z</dcterms:modified>
</cp:coreProperties>
</file>