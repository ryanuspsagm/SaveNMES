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secretary, extended day)</t>
        </is>
      </c>
      <c r="B51" s="14" t="n">
        <v>131724</v>
      </c>
      <c r="C51" s="2" t="inlineStr">
        <is>
          <t>MEASURED v3.9: district FY2026 working budget, location 090, General Fund program 077, excl on-behalf. Was a $175,000 estimate through v3.8.</t>
        </is>
      </c>
    </row>
    <row r="52">
      <c r="A52" s="3" t="inlineStr">
        <is>
          <t>Plant operations avoided (custodial + utilities, sanitation, water)</t>
        </is>
      </c>
      <c r="B52" s="14" t="n">
        <v>96107</v>
      </c>
      <c r="C52" s="2" t="inlineStr">
        <is>
          <t>MEASURED v3.9: same source, custodial program 087 $37,333 + plant program 987 $58,774. B51+B52 = $227,831, the grid's mothballed case. Was a $115,000 estimate through v3.8.</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109077</v>
      </c>
      <c r="D40" s="8" t="n">
        <v>218154</v>
      </c>
      <c r="E40" s="2" t="inlineStr">
        <is>
          <t>Measured lines: $131,724 + $37,333 + $49,097 = $218,154 (the district's own A.1 prices the same four roles at $209,700, within 4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district's routing data was requested and answered N/A.</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$54,539: about 2.1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+$488,631 a year: the district's fullest documented case, still below the plan's $800K-$1M requirement</t>
        </is>
      </c>
    </row>
    <row r="50">
      <c r="A50" s="21" t="inlineStr">
        <is>
          <t>Distribution of all 5,832 combinations, equal weights, enumerated by build/closure_grid.py: capture, fixed-position, add-ons, property and busing levers take three values each, teachers four (0/1/2/3) and leavers six (0/13/26/38/51/64): 3^5 x 4 x 6 = 5,832. Median -$21,971 (the median scenario LOSES money); middle half -$148,790 to +$102,067; 55 percent of scenarios negative; range -$591,545 to +$488,631.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1"/>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(259 registered homeschoolers, ACS pool ~1,135, net import already 189);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14" t="n">
        <v>1393830</v>
      </c>
    </row>
    <row r="18">
      <c r="A18" s="3" t="inlineStr">
        <is>
          <t>Conservative combined estimate, high</t>
        </is>
      </c>
      <c r="B18" s="14" t="n">
        <v>1700000</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published band IS the raw row sums, $1.4M to $2.3M, with no haircut (v4.4 review);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rows 21 and 35 carry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(4 percent option plus delinquency; compounds by year three; recallable menu beyond it on Tax_History rows 70-91)</t>
        </is>
      </c>
      <c r="B28" s="23">
        <f>B4+B5</f>
        <v/>
      </c>
      <c r="C28" s="23">
        <f>C4+C5</f>
        <v/>
      </c>
    </row>
    <row r="29">
      <c r="A29" s="3" t="inlineStr">
        <is>
          <t>Growth plan total (equals the raw sum above; the published band is the conservative cut of the same rows)</t>
        </is>
      </c>
      <c r="B29" s="23">
        <f>B26+B27+B28</f>
        <v/>
      </c>
      <c r="C29" s="23">
        <f>C26+C27+C28</f>
        <v/>
      </c>
    </row>
    <row r="30">
      <c r="A30"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row r="31">
      <c r="A31" s="3" t="inlineStr">
        <is>
          <t>Plan at LOW ends: enrollment $1.11M + costs $760K</t>
        </is>
      </c>
      <c r="B31" s="8" t="n">
        <v>1870000</v>
      </c>
    </row>
    <row r="32">
      <c r="A32" s="3" t="inlineStr">
        <is>
          <t>Full 2018 rate restore (Tax_History basis)</t>
        </is>
      </c>
      <c r="B32" s="8" t="n">
        <v>1699479</v>
      </c>
    </row>
    <row r="33">
      <c r="A33" s="3" t="inlineStr">
        <is>
          <t>Structural gap before transfers</t>
        </is>
      </c>
      <c r="B33" s="18">
        <f>Assumptions!B24-Assumptions!B21</f>
        <v/>
      </c>
    </row>
    <row r="34">
      <c r="A34" s="3" t="inlineStr">
        <is>
          <t>Recurring surplus after the gap</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bonds supported (4.5%, 20 years; same basis as Debt_Service)</t>
        </is>
      </c>
      <c r="B37" s="23">
        <f>B36*(1-1.045^-20)/0.045</f>
        <v/>
      </c>
    </row>
    <row r="38">
      <c r="A38" s="3" t="inlineStr">
        <is>
          <t>Restricted capacity freed when the sweep ends (Debt_Service)</t>
        </is>
      </c>
      <c r="B38" s="8" t="n">
        <v>17600000</v>
      </c>
    </row>
    <row r="39">
      <c r="A39" s="3" t="inlineStr">
        <is>
          <t>Building capacity, together</t>
        </is>
      </c>
      <c r="B39" s="23">
        <f>B37+B38</f>
        <v/>
      </c>
    </row>
    <row r="40">
      <c r="A40" s="21" t="inlineStr">
        <is>
          <t>Reading: at the plan's LOW ends with the full restore, the district funds a 5 percent certified raise AND about $23 million of building capacity for new schools and renovations, with every school open. Requires the full 8.9-cent restore and hitting the low-end lever estimates.</t>
        </is>
      </c>
    </row>
    <row r="41">
      <c r="A41" s="21" t="inlineStr">
        <is>
          <t>Top end: levers high ($3.32M enrollment + $1.32M costs) + full restore = $6.34M vs the $2.65M gap, a $3.69M surplus; a 10 percent certified raise ($1.01M) leaves $2.67M for debt service = about $35M of bonds, roughly $52M of building capacity with the freed restricted stream.</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v4.2 closure model's central case ($54,539); the v4.2 median itself is negative (-$21,971)</t>
        </is>
      </c>
    </row>
    <row r="47">
      <c r="A47" s="3" t="inlineStr">
        <is>
          <t>Closure model median (v4.2 two-tailed grid)</t>
        </is>
      </c>
      <c r="B47" s="8" t="n">
        <v>-21971</v>
      </c>
      <c r="C47" s="9">
        <f>B47*(1-(1+B$40)^-B$41)/B$40</f>
        <v/>
      </c>
      <c r="F47" s="21" t="inlineStr">
        <is>
          <t>Closure_Model tab, 5,832-combination grid; the median scenario loses money</t>
        </is>
      </c>
    </row>
    <row r="48">
      <c r="A48" s="3" t="inlineStr">
        <is>
          <t>Closure model best case (v4.2 favorable tail)</t>
        </is>
      </c>
      <c r="B48" s="8" t="n">
        <v>488631</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(v4.2 central case, $54,539,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(v4.2): at the +$488,631 best case FY2029 ends near $1.2M; at the -$21,971 median the reserves go slightly FASTER than status quo; 55 percent of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2026-08-01T21:14:18Z</dcterms:created>
  <dcterms:modified xmlns:dcterms="http://purl.org/dc/terms/" xmlns:xsi="http://www.w3.org/2001/XMLSchema-instance" xsi:type="dcterms:W3CDTF">2026-08-01T21:14:18Z</dcterms:modified>
</cp:coreProperties>
</file>