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5"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As a share of the FY2025 structural deficit</t>
        </is>
      </c>
      <c r="B21" s="19">
        <f>B20/(Assumptions!B24-Assumptions!B21)</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As a share of the FY2025 structural deficit</t>
        </is>
      </c>
      <c r="B35" s="19">
        <f>B34/(Assumptions!B24-Assumptions!B21)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3"/>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Assumptions!B35*Assumptions!B36</f>
        <v/>
      </c>
      <c r="C4" s="8" t="n">
        <v>450000</v>
      </c>
      <c r="D4" s="2" t="inlineStr">
        <is>
          <t>Low = 4% of FY2025 GF property tax;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3" t="inlineStr">
        <is>
          <t>NMES multi-age reorganization</t>
        </is>
      </c>
      <c r="B14" s="8" t="n">
        <v>170000</v>
      </c>
      <c r="C14" s="8" t="n">
        <v>255000</v>
      </c>
      <c r="D14" s="2" t="inlineStr">
        <is>
          <t>Six or seven sections instead of nine, via attrition</t>
        </is>
      </c>
      <c r="E14" s="2" t="inlineStr">
        <is>
          <t>Cost reduction</t>
        </is>
      </c>
      <c r="F14" s="2" t="inlineStr">
        <is>
          <t>Medium; needs a staffing and grade-band plan</t>
        </is>
      </c>
    </row>
    <row r="15">
      <c r="A15" s="22" t="inlineStr">
        <is>
          <t>Total identified (ranges overlap; not additive to the penny)</t>
        </is>
      </c>
      <c r="B15" s="24">
        <f>SUM(B4:B14)</f>
        <v/>
      </c>
      <c r="C15" s="24">
        <f>SUM(C4:C14)</f>
        <v/>
      </c>
    </row>
    <row r="17">
      <c r="A17" s="4" t="inlineStr">
        <is>
          <t>COMPARISON</t>
        </is>
      </c>
    </row>
    <row r="18">
      <c r="A18" s="3" t="inlineStr">
        <is>
          <t>Package midpoint (raw sum of ranges)</t>
        </is>
      </c>
      <c r="B18" s="9">
        <f>(B15+C15)/2</f>
        <v/>
      </c>
    </row>
    <row r="19">
      <c r="A19" s="3" t="inlineStr">
        <is>
          <t>Conservative combined estimate, low (haircut for overlap)</t>
        </is>
      </c>
      <c r="B19" s="14" t="n">
        <v>1100000</v>
      </c>
    </row>
    <row r="20">
      <c r="A20" s="3" t="inlineStr">
        <is>
          <t>Conservative combined estimate, high</t>
        </is>
      </c>
      <c r="B20" s="14" t="n">
        <v>2100000</v>
      </c>
    </row>
    <row r="21">
      <c r="A21" s="3" t="inlineStr">
        <is>
          <t>Conservative midpoint (used in Runway sheet)</t>
        </is>
      </c>
      <c r="B21" s="9">
        <f>(B19+B20)/2</f>
        <v/>
      </c>
    </row>
    <row r="22">
      <c r="A22" s="3" t="inlineStr">
        <is>
          <t>Average annual GF drawdown (FY2024-25)</t>
        </is>
      </c>
      <c r="B22" s="18">
        <f>GF_Summary!D16</f>
        <v/>
      </c>
    </row>
    <row r="23">
      <c r="A23" s="3" t="inlineStr">
        <is>
          <t>Closure net saving (base case)</t>
        </is>
      </c>
      <c r="B23" s="18">
        <f>Closure_Model!B20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Four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and HB 563 recruitment,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actual real + personal collections</t>
        </is>
      </c>
      <c r="B48" s="18">
        <f>C43</f>
        <v/>
      </c>
      <c r="G48" s="21" t="inlineStr">
        <is>
          <t>Basis: 4% more revenue from EXISTING real + personal property than the compensating rate;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36"/>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Scores are SchoolDigger's normalized 0-100 'Average Standard Score' from KDE test data - not KDE's official rating. Confirm vs KDE Open House datasets before formal submission.</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3" t="inlineStr">
        <is>
          <t>Science, proficient or better</t>
        </is>
      </c>
      <c r="B33" s="13" t="n">
        <v>0.53</v>
      </c>
      <c r="C33" s="13" t="n">
        <v>0.37</v>
      </c>
    </row>
    <row r="34">
      <c r="A34" s="3" t="inlineStr">
        <is>
          <t>Composite: economically disadvantaged students</t>
        </is>
      </c>
      <c r="B34" s="28" t="n">
        <v>57.1</v>
      </c>
    </row>
    <row r="35">
      <c r="A35" s="3" t="inlineStr">
        <is>
          <t>Composite: female students</t>
        </is>
      </c>
      <c r="B35" s="28" t="n">
        <v>85.7</v>
      </c>
    </row>
    <row r="36">
      <c r="A36" s="3" t="inlineStr">
        <is>
          <t>Composite: male students</t>
        </is>
      </c>
      <c r="B36" s="28" t="n">
        <v>28.8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6"/>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Expansion built;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Rating today is 549, the plan's to-become capacity with its addition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Rated capacity written down 24 seats;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its current rated 549</t>
        </is>
      </c>
      <c r="B13" s="11">
        <f>549-Redistricting!B8</f>
        <v/>
      </c>
    </row>
    <row r="14">
      <c r="A14" s="3" t="inlineStr">
        <is>
          <t>Cane Ridge students over rated 422</t>
        </is>
      </c>
      <c r="B14" s="11">
        <f>Redistricting!B9-E8</f>
        <v/>
      </c>
    </row>
    <row r="15">
      <c r="A15" s="3" t="inlineStr">
        <is>
          <t>Net uncommitted seats at both receiving schools</t>
        </is>
      </c>
      <c r="B15" s="31">
        <f>B13-B14</f>
        <v/>
      </c>
    </row>
    <row r="16">
      <c r="A16" s="3" t="inlineStr">
        <is>
          <t>NMES students needing seats on closure</t>
        </is>
      </c>
      <c r="B16" s="25">
        <f>Assumptions!B11</f>
        <v/>
      </c>
    </row>
    <row r="17">
      <c r="A17" s="3" t="inlineStr">
        <is>
          <t>Shortfall if closure proceeds today</t>
        </is>
      </c>
      <c r="B17" s="31">
        <f>B16-B15</f>
        <v/>
      </c>
    </row>
    <row r="18">
      <c r="A18" s="3" t="inlineStr">
        <is>
          <t>Sensitivity: net seats at the 2021 plan's as-printed 521 for Bourbon Central</t>
        </is>
      </c>
      <c r="B18" s="11">
        <f>E7-Redistricting!B8-B14</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All scheduled after the 2022-24 biennium; the in-biennium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current ratings are 549 (Bourbon Central) and 422 (Cane Ridge). At current enrollment that is 90 open at Bourbon Central and 31 over at Cane Ridge, a net 59 uncommitted seats for 128 children (net 31 at the 2021 plan's as-printed 521). NMES renovation needs were priced in 2013 and re-priced higher in 2021, each time scheduled behind other work. Its rated capacity fell 198 to 174 between the same two plans while its enrollment fell 169 to 128.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2026-07-20T12:22:30Z</dcterms:created>
  <dcterms:modified xsi:type="dcterms:W3CDTF">2026-07-20T12:22:30Z</dcterms:modified>
</cp:coreProperties>
</file>