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(LEGACY single-point inputs, superseded; the published closure model is the Closure_Model 972-scenario grid at its row 37)</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B17+C17+Closure_Model!C40+3*54479.4-63000-136*(Assumptions!B6+500-Assumptions!B62)</f>
        <v/>
      </c>
      <c r="F34" s="21">
        <f> $127,039 kept, plus half the fixed overhead positions ($107,052, Closure_Model C40) and three teachers at $54,479.40, minus $63,000 of busing, minus the statistical median of 136 missing students at $5,136 less the $400 supplies credit: the published -$309,567, the 82nd percentile of the 972-scenario grid; the weighted median is a $428,627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$428,627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117/136/154)</t>
        </is>
      </c>
      <c r="B43" s="8" t="n">
        <v>117</v>
      </c>
      <c r="C43" s="8" t="n">
        <v>136</v>
      </c>
      <c r="D43" s="8" t="n">
        <v>154</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ten-year average of 22;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7">
      <c r="A47" s="3" t="inlineStr">
        <is>
          <t>Central case: net yearly effect</t>
        </is>
      </c>
      <c r="B47" s="19">
        <f>C39+C40+C41*54479.4-C42-C43*(Assumptions!B6+C44-Assumptions!B62)</f>
        <v/>
      </c>
      <c r="C47" s="2" t="inlineStr">
        <is>
          <t>-$410,806: the central case itself loses money, about 16 percent of the structural deficit added, not removed</t>
        </is>
      </c>
    </row>
    <row r="48">
      <c r="A48" s="3" t="inlineStr">
        <is>
          <t>Unfavorable tail (all levers adverse)</t>
        </is>
      </c>
      <c r="B48" s="9">
        <f>B39+B40+B41*54479.4-D42-D43*(Assumptions!B6+D44-Assumptions!B62)</f>
        <v/>
      </c>
      <c r="C48" s="2" t="inlineStr">
        <is>
          <t>-$847,825 a year: the closure loses money</t>
        </is>
      </c>
    </row>
    <row r="49">
      <c r="A49" s="3" t="inlineStr">
        <is>
          <t>Favorable tail (all levers favorable)</t>
        </is>
      </c>
      <c r="B49" s="9">
        <f>D39+D40+D41*54479.4-B42-B43*(Assumptions!B6+B44-Assumptions!B62)</f>
        <v/>
      </c>
      <c r="C49" s="2" t="inlineStr">
        <is>
          <t>-$11,030 a year: even the grid's best case (every lever at its closure-friendliest at once) still loses money, roughly $800,000 to $1 million short of the plan's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(117/136/154), with the signed-survey floor of 74 kept as hard evidence below every priced leg. v5.0 lever weights: triangular 1-2-1 on every three-leg lever, uniform on teachers. Weighted median -$428,627 (the median scenario LOSES money); middle half -$519,765 to -$340,021; EVERY weighted scenario is negative, the best case still loses $11,030; range -$847,825 to -$11,030 (unweighted median -$426,503).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(SAAR 2025-26 end-of-year count; the 2024-25 count of 128 anchors the capacity and cost comparisons)</t>
        </is>
      </c>
      <c r="B8" s="10" t="n">
        <v>115</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115</t>
        </is>
      </c>
      <c r="D18" s="25" t="inlineStr">
        <is>
          <t>Per year, full feeder</t>
        </is>
      </c>
      <c r="E18" s="25" t="inlineStr">
        <is>
          <t>$/yr (feeder)</t>
        </is>
      </c>
      <c r="F18" s="25" t="inlineStr">
        <is>
          <t>Basis</t>
        </is>
      </c>
    </row>
    <row r="19">
      <c r="A19" s="3" t="inlineStr">
        <is>
          <t>Band low (25th pct)</t>
        </is>
      </c>
      <c r="B19" s="10" t="n">
        <v>0.42975</v>
      </c>
      <c r="C19" s="11">
        <f>ROUND(B19*$B$8,0)</f>
        <v/>
      </c>
      <c r="D19" s="11">
        <f>ROUND(B19*$B$9*$B$15,0)</f>
        <v/>
      </c>
      <c r="E19" s="9">
        <f>D19*(Assumptions!B6+500)</f>
        <v/>
      </c>
      <c r="F19" s="21" t="inlineStr">
        <is>
          <t>Middle half of the corrected posterior; the closure grid's low leg</t>
        </is>
      </c>
    </row>
    <row r="20">
      <c r="A20" s="3" t="inlineStr">
        <is>
          <t>Median</t>
        </is>
      </c>
      <c r="B20" s="10" t="n">
        <v>0.50075</v>
      </c>
      <c r="C20" s="11">
        <f>ROUND(B20*$B$8,0)</f>
        <v/>
      </c>
      <c r="D20" s="11">
        <f>ROUND(B20*$B$9*$B$15,0)</f>
        <v/>
      </c>
      <c r="E20" s="9">
        <f>D20*(Assumptions!B6+500)</f>
        <v/>
      </c>
      <c r="F20" s="21" t="inlineStr">
        <is>
          <t>The closure grid's central leg and the calculator default</t>
        </is>
      </c>
    </row>
    <row r="21">
      <c r="A21" s="3" t="inlineStr">
        <is>
          <t>Band high (75th pct)</t>
        </is>
      </c>
      <c r="B21" s="10" t="n">
        <v>0.56725</v>
      </c>
      <c r="C21" s="11">
        <f>ROUND(B21*$B$8,0)</f>
        <v/>
      </c>
      <c r="D21" s="11">
        <f>ROUND(B21*$B$9*$B$15,0)</f>
        <v/>
      </c>
      <c r="E21" s="9">
        <f>D21*(Assumptions!B6+500)</f>
        <v/>
      </c>
      <c r="F21" s="21" t="inlineStr">
        <is>
          <t>The closure grid's high leg</t>
        </is>
      </c>
    </row>
    <row r="22">
      <c r="A22" s="3" t="inlineStr">
        <is>
          <t>95th percentile bound</t>
        </is>
      </c>
      <c r="B22" s="10" t="n">
        <v>0.65525</v>
      </c>
      <c r="C22" s="11">
        <f>ROUND(B22*$B$8,0)</f>
        <v/>
      </c>
      <c r="D22" s="11">
        <f>ROUND(B22*$B$9*$B$15,0)</f>
        <v/>
      </c>
      <c r="E22" s="9">
        <f>D22*(Assumptions!B6+500)</f>
        <v/>
      </c>
      <c r="F22" s="21" t="inlineStr">
        <is>
          <t>Not priced in the grid; the honest upper bound</t>
        </is>
      </c>
    </row>
    <row r="24">
      <c r="A24" s="21" t="inlineStr">
        <is>
          <t>Leave shares are the posterior of a response-propensity model: across the sampled window the raw split is 62 leavers to 13 stayers; leaving families are assumed 3.3x to about 9x likelier to answer (log-normal prior centered on 3.5x and FLOORED at 3.3x, the lower of Pew's high-salience benchmarks, chosen for a small, emotionally charged respondent pool reached through a campaign-circulated form), and the shares above are the resulting quartiles. Class-year codes are not assumed accurate; the evidence window spans current enrollment plus the next three entering classes (62 leavers to 13 stayers of 75), so a miscoded child counts either way, and the correction still assumes the largest silent pool the coding allows, leaning the band low. Corroboration outside the survey: SAAR 2025-26 kindergarten of 12 against a ten-year average of 22;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+$142,220 (the site default, 30 students at $4,736, lands at +$142,080, within $140 of it);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115 arriving students trigger the same class caps at the receiving schools, adding sections in several grades, which is exactly why the closure's net effect runs minus $847,825 to minus $11,030 with a weighted median of minus $428,627,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-$428,627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(-$410,806); the weighted median loses $428,627</t>
        </is>
      </c>
    </row>
    <row r="47">
      <c r="A47" s="3" t="inlineStr">
        <is>
          <t>Closure model median (v5.0 weighted grid)</t>
        </is>
      </c>
      <c r="B47" s="8" t="n">
        <v>-428627</v>
      </c>
      <c r="C47" s="9">
        <f>B47*(1-(1+B$40)^-B$41)/B$40</f>
        <v/>
      </c>
      <c r="F47" s="21" t="inlineStr">
        <is>
          <t>Closure_Model tab, 972-combination grid; the median scenario loses money</t>
        </is>
      </c>
    </row>
    <row r="48">
      <c r="A48" s="3" t="inlineStr">
        <is>
          <t>Closure model best case (favorable tail)</t>
        </is>
      </c>
      <c r="B48" s="8" t="n">
        <v>-11030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-$11,030 best case drains reserves faster than status quo, the -$428,627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-428627</v>
      </c>
      <c r="C6" s="9">
        <f>Runway!E7</f>
        <v/>
      </c>
      <c r="D6" s="2" t="inlineStr">
        <is>
          <t>Unpublished</t>
        </is>
      </c>
      <c r="E6" s="2" t="inlineStr">
        <is>
          <t>Closure vote; the weighted median LOSES $428,627 a year (B6 is the grid median; the legacy single-point Closure_Model!B20 is superseded); the grid central case itself loses $410,806, and even the best-case tail still loses $11,030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115 students displaced, the 2025-26 end-of-year count)</t>
        </is>
      </c>
      <c r="B34" s="19">
        <f>800000/Exodus_Model!B8</f>
        <v/>
      </c>
      <c r="C34" s="19">
        <f>1000000/Exodus_Model!B8</f>
        <v/>
      </c>
    </row>
    <row r="35">
      <c r="A35" s="3" t="inlineStr">
        <is>
          <t>This report's own model, per displaced student: median / central / best case</t>
        </is>
      </c>
      <c r="B35" s="9">
        <f>-428627/Exodus_Model!B8</f>
        <v/>
      </c>
      <c r="C35" s="9">
        <f>Closure_Model!B47/Exodus_Model!B8</f>
        <v/>
      </c>
      <c r="D35" s="9">
        <f>Closure_Model!B49/Exodus_Model!B8</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$6,957-$8,696 requirement.</t>
        </is>
      </c>
      <c r="B44" s="8" t="n">
        <v>818</v>
      </c>
      <c r="C44" s="19">
        <f>Closure_Model!B47/Exodus_Model!B8</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2026-08-18T02:43:20Z</dcterms:created>
  <dcterms:modified xmlns:dcterms="http://purl.org/dc/terms/" xmlns:xsi="http://www.w3.org/2001/XMLSchema-instance" xsi:type="dcterms:W3CDTF">2026-08-18T02:43:20Z</dcterms:modified>
</cp:coreProperties>
</file>