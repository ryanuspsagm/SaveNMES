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 name="KY_Closures" sheetId="16" state="visible" r:id="rId16"/>
  </sheets>
  <definedNames/>
  <calcPr calcId="124519" fullCalcOnLoad="1"/>
</workbook>
</file>

<file path=xl/styles.xml><?xml version="1.0" encoding="utf-8"?>
<styleSheet xmlns="http://schemas.openxmlformats.org/spreadsheetml/2006/main">
  <numFmts count="5">
    <numFmt numFmtId="164" formatCode="$#,##0;($#,##0);&quot;-&quot;"/>
    <numFmt numFmtId="165" formatCode="#,##0;(#,##0);&quot;-&quot;"/>
    <numFmt numFmtId="166" formatCode="0.0%"/>
    <numFmt numFmtId="167" formatCode="0.0"/>
    <numFmt numFmtId="168" formatCode="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9"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V3 TWO-TAILED SENSITIVITY: SEVEN LEVERS, 1,944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Positions eliminated (net of re-created sections)</t>
        </is>
      </c>
      <c r="B39" s="10" t="n">
        <v>2</v>
      </c>
      <c r="C39" s="10" t="n">
        <v>3</v>
      </c>
      <c r="D39" s="10" t="n">
        <v>5</v>
      </c>
      <c r="E39" s="2" t="inlineStr">
        <is>
          <t>Class caps: receiving schools add ~4 sections while NMES's 9 dissolve</t>
        </is>
      </c>
    </row>
    <row r="40">
      <c r="A40" s="3" t="inlineStr">
        <is>
          <t>GF cost per position</t>
        </is>
      </c>
      <c r="B40" s="8" t="n">
        <v>50000</v>
      </c>
      <c r="C40" s="8" t="n">
        <v>60000</v>
      </c>
      <c r="D40" s="8" t="n">
        <v>75000</v>
      </c>
      <c r="E40" s="2" t="inlineStr">
        <is>
          <t>Published salary schedule + on-behalf structure</t>
        </is>
      </c>
    </row>
    <row r="41">
      <c r="A41" s="3" t="inlineStr">
        <is>
          <t>Fixed avoided (mothballed / sold)</t>
        </is>
      </c>
      <c r="B41" s="8" t="n">
        <v>230000</v>
      </c>
      <c r="C41" s="8" t="n">
        <v>290000</v>
      </c>
      <c r="D41" s="8" t="n">
        <v>290000</v>
      </c>
      <c r="E41" s="2" t="inlineStr">
        <is>
          <t>Principal+office $175K; plant $115K sold, ~$55K mothballed</t>
        </is>
      </c>
    </row>
    <row r="42">
      <c r="A42" s="3" t="inlineStr">
        <is>
          <t>Added busing</t>
        </is>
      </c>
      <c r="B42" s="8" t="n">
        <v>100000</v>
      </c>
      <c r="C42" s="8" t="n">
        <v>137500</v>
      </c>
      <c r="D42" s="8" t="n">
        <v>250000</v>
      </c>
      <c r="E42" s="2" t="inlineStr">
        <is>
          <t>110 sq mi zone (federal SABS); worst-reimbursed budget line</t>
        </is>
      </c>
    </row>
    <row r="43">
      <c r="A43" s="3" t="inlineStr">
        <is>
          <t>Students leaving district</t>
        </is>
      </c>
      <c r="B43" s="10" t="n">
        <v>0</v>
      </c>
      <c r="C43" s="10" t="n">
        <v>10</v>
      </c>
      <c r="D43" s="10" t="n">
        <v>30</v>
      </c>
      <c r="E43" s="2" t="inlineStr">
        <is>
          <t>x $4,626 SEEK; Paris Ind adjacent under HB 563; Millersburg precedent</t>
        </is>
      </c>
    </row>
    <row r="44">
      <c r="A44" s="3" t="inlineStr">
        <is>
          <t>Capacity debt service triggered</t>
        </is>
      </c>
      <c r="B44" s="10" t="n">
        <v>0</v>
      </c>
      <c r="C44" s="8" t="n">
        <v>115000</v>
      </c>
      <c r="D44" s="8" t="n">
        <v>231000</v>
      </c>
      <c r="E44" s="2" t="inlineStr">
        <is>
          <t>CRES 103 over approved rating; 2021 plan prices its kitchen/cafeteria deficient today</t>
        </is>
      </c>
    </row>
    <row r="45">
      <c r="A45" s="3" t="inlineStr">
        <is>
          <t>Assessment erosion, district share</t>
        </is>
      </c>
      <c r="B45" s="10" t="n">
        <v>0</v>
      </c>
      <c r="C45" s="8" t="n">
        <v>40000</v>
      </c>
      <c r="D45" s="8" t="n">
        <v>95000</v>
      </c>
      <c r="E45" s="2" t="inlineStr">
        <is>
          <t>Millersburg-calibrated; PVA records ask pending</t>
        </is>
      </c>
    </row>
    <row r="47">
      <c r="A47" s="3" t="inlineStr">
        <is>
          <t>Central case: net yearly effect</t>
        </is>
      </c>
      <c r="B47" s="23">
        <f>C41+C39*C40-C42-C43*Assumptions!B6-C44-C45</f>
        <v/>
      </c>
      <c r="C47" s="2" t="inlineStr">
        <is>
          <t>$131,240: about 5 percent of the structural deficit</t>
        </is>
      </c>
    </row>
    <row r="48">
      <c r="A48" s="3" t="inlineStr">
        <is>
          <t>Unfavorable tail (all levers adverse)</t>
        </is>
      </c>
      <c r="B48" s="9">
        <f>B41+B39*B40-D42-D43*Assumptions!B6-D44-D45</f>
        <v/>
      </c>
      <c r="C48" s="2" t="inlineStr">
        <is>
          <t>-$384,780 a year: the closure loses money</t>
        </is>
      </c>
    </row>
    <row r="49">
      <c r="A49" s="3" t="inlineStr">
        <is>
          <t>Favorable tail (all levers favorable)</t>
        </is>
      </c>
      <c r="B49" s="9">
        <f>D41+D39*D40-B42-B43*Assumptions!B6-B44-B45</f>
        <v/>
      </c>
      <c r="C49" s="2" t="inlineStr">
        <is>
          <t>+$565,000 a year: the ceiling, and still below the plan's $800K-$1M requirement</t>
        </is>
      </c>
    </row>
    <row r="50">
      <c r="A50" s="21" t="inlineStr">
        <is>
          <t>Distribution of all 1,944 combinations (computed in build script, equal weights): median +$91,240; middle half -$17,500 to +$200,000; 29 percent of scenarios negative. One-time transition costs $100K-$300K in year one are additional.</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2007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(v3 central case, $131,240,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(v3): at the +$565,000 best case FY2029 ends near $1.4M; at the +$91,240 median the reserves are gone on nearly the status-quo schedule; in the 29 percent of scenarios that lose money, sooner than status quo.</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3"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35" t="n">
        <v>0.887637</v>
      </c>
      <c r="C67" s="35" t="n">
        <v>0.819273</v>
      </c>
      <c r="D67" s="35" t="n">
        <v>0.823017</v>
      </c>
      <c r="E67" s="8" t="n">
        <v>4006243.38</v>
      </c>
      <c r="F67" s="8" t="n">
        <v>22636266.8</v>
      </c>
    </row>
    <row r="68">
      <c r="A68" s="3" t="inlineStr">
        <is>
          <t>Cane Ridge Elementary (1992)</t>
        </is>
      </c>
      <c r="B68" s="35" t="n">
        <v>0.8120579999999999</v>
      </c>
      <c r="C68" s="35" t="n">
        <v>0.811765</v>
      </c>
      <c r="D68" s="35" t="n">
        <v>0.728249</v>
      </c>
      <c r="E68" s="8" t="n">
        <v>4796308</v>
      </c>
      <c r="F68" s="8" t="n">
        <v>17649638.79</v>
      </c>
    </row>
    <row r="69">
      <c r="A69" s="3" t="inlineStr">
        <is>
          <t>North Middletown Elementary (1948/64)</t>
        </is>
      </c>
      <c r="B69" s="35" t="n">
        <v>0.694064</v>
      </c>
      <c r="C69" s="35" t="n">
        <v>0.702133</v>
      </c>
      <c r="D69" s="35" t="n">
        <v>0.773295</v>
      </c>
      <c r="E69" s="8" t="n">
        <v>3099147.93</v>
      </c>
      <c r="F69" s="8" t="n">
        <v>13670417.6</v>
      </c>
    </row>
    <row r="70">
      <c r="A70" s="3" t="inlineStr">
        <is>
          <t>Bourbon County Middle School (1948)</t>
        </is>
      </c>
      <c r="B70" s="35" t="n">
        <v>0.726249</v>
      </c>
      <c r="C70" s="35" t="n">
        <v>0.727501</v>
      </c>
      <c r="D70" s="35" t="n">
        <v>0.596145</v>
      </c>
      <c r="E70" s="8" t="n">
        <v>12167086.72</v>
      </c>
      <c r="F70" s="8" t="n">
        <v>30127350</v>
      </c>
    </row>
    <row r="71">
      <c r="A71" s="3" t="inlineStr">
        <is>
          <t>Bourbon County High School (1968)</t>
        </is>
      </c>
      <c r="B71" s="35" t="n">
        <v>0.809819</v>
      </c>
      <c r="C71" s="35" t="n">
        <v>0.802057</v>
      </c>
      <c r="D71" s="35" t="n">
        <v>0.792529</v>
      </c>
      <c r="E71" s="8" t="n">
        <v>10251532.33</v>
      </c>
      <c r="F71" s="8" t="n">
        <v>49411909.14</v>
      </c>
    </row>
    <row r="72">
      <c r="A72" s="3" t="inlineStr">
        <is>
          <t>Check: Condition Index = 1 - (4-year renewal needs / replacement value), NMES</t>
        </is>
      </c>
      <c r="B72" s="36">
        <f>1-E69/F69</f>
        <v/>
      </c>
    </row>
    <row r="73">
      <c r="A73" s="3" t="inlineStr">
        <is>
          <t>NMES change between inspection cycles (2020-21 to April 2026)</t>
        </is>
      </c>
      <c r="B73" s="36">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91240/Assumptions!B11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7" t="n">
        <v>0.4</v>
      </c>
      <c r="C41" s="37"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CONVERGENCE CHECK: the record's plausible median vs this model's independent bottom-up median per displaced student</t>
        </is>
      </c>
      <c r="B44" s="8" t="n">
        <v>818</v>
      </c>
      <c r="C44" s="23">
        <f>91240/Assumptions!B11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46</v>
      </c>
      <c r="C47" s="10" t="n">
        <v>13</v>
      </c>
      <c r="D47" s="10" t="n">
        <v>11</v>
      </c>
      <c r="E47" s="10" t="n">
        <v>22</v>
      </c>
    </row>
    <row r="48">
      <c r="A48" s="3" t="inlineStr">
        <is>
          <t>Spearman correlation, share of district displaced vs score change</t>
        </is>
      </c>
      <c r="B48" s="12" t="n">
        <v>-0.28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2026-07-26T04:53:24Z</dcterms:created>
  <dcterms:modified xsi:type="dcterms:W3CDTF">2026-07-26T04:53:24Z</dcterms:modified>
</cp:coreProperties>
</file>