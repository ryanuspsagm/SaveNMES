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Enacted: 2026 Ky. Acts ch. 168 (HB 500), p. 20, archived in build/; an interim v5.0 draft wrongly moved this to $4,636; corrected here</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(LEGACY single-point inputs, superseded; the published closure model is the Closure_Model 972-scenario grid at its row 37)</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2026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128 students on the official 2024-25 roster: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B17+C17+Closure_Model!C40+3*54479.4-63000-136*(Assumptions!B6+500-Assumptions!B62)</f>
        <v/>
      </c>
      <c r="F34" s="21" t="inlineStr">
        <is>
          <t>$127,039 kept, plus half the fixed overhead positions ($107,052, Closure_Model C40) and three teachers at $54,479.40, minus $63,000 of busing, minus the statistical median of 136 missing students at $5,126 less the $400 supplies credit: the published -$308,207, the 82nd percentile of the 972-scenario grid; the weighted median is a $427,087 loss (Closure_Model row 50)</t>
        </is>
      </c>
    </row>
    <row r="35">
      <c r="A35" s="3" t="inlineStr">
        <is>
          <t>Growth default: 30 added students at the grid's low busing and supplies</t>
        </is>
      </c>
      <c r="B35" s="19">
        <f>30*(Assumptions!B6+500-400)</f>
        <v/>
      </c>
      <c r="F35" s="21" t="inlineStr">
        <is>
          <t>The published +$141,780 is the grid's weighted median itself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972-scenario grid at row 37, median a $427,087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approximately the SEEK base guarantee, and more with the formula's weights, every year, permanently. SEEK pays on prior-year average daily attendance (about 91 percent of end-of-year enrollment here); the mostly uncounted at-risk, exceptional-child, language, and transportation weights are worth more than that haircut.</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SIX LEVERS, 972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95000</v>
      </c>
      <c r="E42" s="2" t="inlineStr">
        <is>
          <t>Derived bottom-up with uncertainty: 2-4 zone buses terminating in Paris (~9-11 road miles farther one-way), 2 loaded + 0-2 deadhead legs daily, 170 to 175 days, $3.25-$4.75/mile (KDE/NAPT band). The bottom-up maximum with a route split reached $190,000; v5.0 caps the high leg at half that, $95,000. The July 2026 records response produced the current routes but answered N/A for any routing study or ride-time analysis.</t>
        </is>
      </c>
    </row>
    <row r="43">
      <c r="A43" s="3" t="inlineStr">
        <is>
          <t>Students missing from the rolls at steady state (grid legs 117/136/154)</t>
        </is>
      </c>
      <c r="B43" s="8" t="n">
        <v>117</v>
      </c>
      <c r="C43" s="8" t="n">
        <v>136</v>
      </c>
      <c r="D43" s="8" t="n">
        <v>154</v>
      </c>
      <c r="E43" s="2" t="inlineStr">
        <is>
          <t>From the August 2026 school-choice survey (anonymized in build/) and build/exodus_model.py: the response-bias-corrected posterior 25th/50th/75th percentiles of the leave share, applied to the whole feeder stream (entering class of 21.5, the recent 19-24 SAAR midpoint, x 12.62 effective years of the district's own grade-to-grade survival), triangular with the median central. The 31 signed households and their 70 children are the hard evidence behind the share, not a priced scenario. Exits free and funded under HB 563. The state's SAAR files corroborate: kindergarten 12 in 2025-26 against a ten-year average of 22; end-of-year 141/128/115 across 2023-24 to 2025-26.</t>
        </is>
      </c>
    </row>
    <row r="44">
      <c r="A44" s="3" t="inlineStr">
        <is>
          <t>SEEK add-ons lost per leaver</t>
        </is>
      </c>
      <c r="B44" s="10" t="n">
        <v>0</v>
      </c>
      <c r="C44" s="8" t="n">
        <v>500</v>
      </c>
      <c r="D44" s="8" t="n">
        <v>1000</v>
      </c>
      <c r="E44" s="2" t="inlineStr">
        <is>
          <t>The at-risk weight alone carries the central leg: 15% of base per free-lunch child, about $500 per average student at a ~72% FRL school; exceptional-child, language, and prorated transportation weights sit above it, mostly uncounted</t>
        </is>
      </c>
    </row>
    <row r="47">
      <c r="A47" s="3" t="inlineStr">
        <is>
          <t>Central case: net yearly effect</t>
        </is>
      </c>
      <c r="B47" s="19">
        <f>C39+C40+C41*54479.4-C42-C43*(Assumptions!B6+C44-Assumptions!B62)</f>
        <v/>
      </c>
      <c r="C47" s="2" t="inlineStr">
        <is>
          <t>-$409,446: the central case itself loses money, about 16 percent of the structural deficit added, not removed</t>
        </is>
      </c>
    </row>
    <row r="48">
      <c r="A48" s="3" t="inlineStr">
        <is>
          <t>Unfavorable tail (all levers adverse)</t>
        </is>
      </c>
      <c r="B48" s="9">
        <f>B39+B40+B41*54479.4-D42-D43*(Assumptions!B6+D44-Assumptions!B62)</f>
        <v/>
      </c>
      <c r="C48" s="2" t="inlineStr">
        <is>
          <t>-$846,285 a year: the closure loses money</t>
        </is>
      </c>
    </row>
    <row r="49">
      <c r="A49" s="3" t="inlineStr">
        <is>
          <t>Favorable tail (all levers favorable)</t>
        </is>
      </c>
      <c r="B49" s="9">
        <f>D39+D40+D41*54479.4-B42-B43*(Assumptions!B6+B44-Assumptions!B62)</f>
        <v/>
      </c>
      <c r="C49" s="2" t="inlineStr">
        <is>
          <t>-$9,860 a year: even the grid's best case (every lever at its closure-friendliest at once) still loses money, roughly $800,000 to $1 million short of the plan's requirement</t>
        </is>
      </c>
    </row>
    <row r="50">
      <c r="A50" s="21" t="inlineStr">
        <is>
          <t>Distribution of all 972 combinations enumerated by build/closure_grid.py: capture, fixed-position, add-ons, busing and missing-students levers take three values each, teachers four (0/1/2/3): 3^5 x 4 = 972. Each missing student is priced at the enacted FY2027 SEEK base of $4,626 plus the add-ons lever, minus the $400 of supplies that stop being spent (Assumptions row 62, the same figure the growth model charges each recruit); teacher savings appear ONLY on the teachers-cut lever, so staffing is never counted twice. The busing high leg is capped at half its bottom-up maximum ($95,000); a property-value lever priced in an interim draft is removed while the PVA records request is pending; the missing-students lever prices the statistical band's quartiles (117/136/154), with the signed-survey floor of 74 (the 70 signed children spread over their twelve class cohorts, 5.83 per class, carried 12.62 effective years) kept as hard evidence below every priced leg. v5.0 lever weights: triangular 1-2-1 on every three-leg lever, uniform on teachers. Weighted median -$427,087 (the median scenario LOSES money); middle half -$518,405 to -$338,727; EVERY weighted scenario is negative, the best case still loses $9,860; range -$846,285 to -$9,860 (unweighted median -$425,053).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Current student population (SAAR 2025-26 end-of-year count; the 2024-25 count of 128 anchors the capacity and cost comparisons)</t>
        </is>
      </c>
      <c r="B8" s="10" t="n">
        <v>115</v>
      </c>
    </row>
    <row r="9">
      <c r="A9" s="3" t="inlineStr">
        <is>
          <t>Entering class per year (midpoint of the recent 19-24 SAAR per-grade range)</t>
        </is>
      </c>
      <c r="B9" s="10" t="n">
        <v>21.5</v>
      </c>
      <c r="F9" s="21" t="inlineStr">
        <is>
          <t>The ten-year average NMES kindergarten (SAAR school files, 2015-16 to 2025-26 observed seasons) is 22.2; the survey's hand-coded class years mark only who is enrolled now, and no per-class math is used (v5.0 method change)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SHARE, APPLIED: TODAY'S STUDENTS, THEN THE WHOLE FEEDER STREAM</t>
        </is>
      </c>
    </row>
    <row r="18">
      <c r="A18" s="25" t="inlineStr">
        <is>
          <t>Estimate</t>
        </is>
      </c>
      <c r="B18" s="25" t="inlineStr">
        <is>
          <t>Leave share</t>
        </is>
      </c>
      <c r="C18" s="25" t="inlineStr">
        <is>
          <t>Of today's 115</t>
        </is>
      </c>
      <c r="D18" s="25" t="inlineStr">
        <is>
          <t>Per year, full feeder</t>
        </is>
      </c>
      <c r="E18" s="25" t="inlineStr">
        <is>
          <t>$/yr (feeder)</t>
        </is>
      </c>
      <c r="F18" s="25" t="inlineStr">
        <is>
          <t>Basis</t>
        </is>
      </c>
    </row>
    <row r="19">
      <c r="A19" s="3" t="inlineStr">
        <is>
          <t>Band low (25th pct)</t>
        </is>
      </c>
      <c r="B19" s="10" t="n">
        <v>0.42975</v>
      </c>
      <c r="C19" s="11">
        <f>ROUND(B19*$B$8,0)</f>
        <v/>
      </c>
      <c r="D19" s="11">
        <f>ROUND(B19*$B$9*$B$15,0)</f>
        <v/>
      </c>
      <c r="E19" s="9">
        <f>D19*(Assumptions!B6+500)</f>
        <v/>
      </c>
      <c r="F19" s="21" t="inlineStr">
        <is>
          <t>Middle half of the corrected posterior; the closure grid's low leg</t>
        </is>
      </c>
    </row>
    <row r="20">
      <c r="A20" s="3" t="inlineStr">
        <is>
          <t>Median</t>
        </is>
      </c>
      <c r="B20" s="10" t="n">
        <v>0.50075</v>
      </c>
      <c r="C20" s="11">
        <f>ROUND(B20*$B$8,0)</f>
        <v/>
      </c>
      <c r="D20" s="11">
        <f>ROUND(B20*$B$9*$B$15,0)</f>
        <v/>
      </c>
      <c r="E20" s="9">
        <f>D20*(Assumptions!B6+500)</f>
        <v/>
      </c>
      <c r="F20" s="21" t="inlineStr">
        <is>
          <t>The closure grid's central leg and the calculator default</t>
        </is>
      </c>
    </row>
    <row r="21">
      <c r="A21" s="3" t="inlineStr">
        <is>
          <t>Band high (75th pct)</t>
        </is>
      </c>
      <c r="B21" s="10" t="n">
        <v>0.56725</v>
      </c>
      <c r="C21" s="11">
        <f>ROUND(B21*$B$8,0)</f>
        <v/>
      </c>
      <c r="D21" s="11">
        <f>ROUND(B21*$B$9*$B$15,0)</f>
        <v/>
      </c>
      <c r="E21" s="9">
        <f>D21*(Assumptions!B6+500)</f>
        <v/>
      </c>
      <c r="F21" s="21" t="inlineStr">
        <is>
          <t>The closure grid's high leg</t>
        </is>
      </c>
    </row>
    <row r="22">
      <c r="A22" s="3" t="inlineStr">
        <is>
          <t>95th percentile bound</t>
        </is>
      </c>
      <c r="B22" s="10" t="n">
        <v>0.65525</v>
      </c>
      <c r="C22" s="11">
        <f>ROUND(B22*$B$8,0)</f>
        <v/>
      </c>
      <c r="D22" s="11">
        <f>ROUND(B22*$B$9*$B$15,0)</f>
        <v/>
      </c>
      <c r="E22" s="9">
        <f>D22*(Assumptions!B6+500)</f>
        <v/>
      </c>
      <c r="F22" s="21" t="inlineStr">
        <is>
          <t>Not priced in the grid; the honest upper bound</t>
        </is>
      </c>
    </row>
    <row r="24">
      <c r="A24" s="21" t="inlineStr">
        <is>
          <t>Leave shares are the posterior of a response-propensity model: across the sampled window the raw split is 62 leavers to 13 stayers; leaving families are assumed 3.3x to about 9x likelier to answer (log-normal prior centered on 3.5x and FLOORED at 3.3x, the lower of Pew's high-salience benchmarks, chosen for a small, emotionally charged respondent pool reached through a campaign-circulated form), and the shares above are the resulting quartiles. Class-year codes are not assumed accurate; the evidence window spans current enrollment plus the next three entering classes (62 leavers to 13 stayers of 75), so a miscoded child counts either way, and the correction still assumes the largest silent pool the coding allows, leaning the band low. Corroboration outside the survey: SAAR 2025-26 kindergarten of 12 against a ten-year average of 22;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every priced closure scenario loses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or 1 per 50, with cost legs $20,000/$28,500/$37,000 (staff-per and staff-cost enumerated as independent levers); busing $0/$500/$1,000 per recruit; marginal cost $400/$700/$1,000; SEEK add-ons $0/$500/$1,000. Weighted median +$141,780, which is also the site default (30 students at $4,726);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115 arriving students trigger the same class caps at the receiving schools, adding sections in several grades, which is exactly why the closure's net effect runs minus $846,285 to minus $9,860 with a weighted median of minus $427,087,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-$427,087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(-$409,446); the weighted median loses $427,087</t>
        </is>
      </c>
    </row>
    <row r="47">
      <c r="A47" s="3" t="inlineStr">
        <is>
          <t>Closure model median (v5.0 weighted grid)</t>
        </is>
      </c>
      <c r="B47" s="8" t="n">
        <v>-427087</v>
      </c>
      <c r="C47" s="9">
        <f>B47*(1-(1+B$40)^-B$41)/B$40</f>
        <v/>
      </c>
      <c r="F47" s="21" t="inlineStr">
        <is>
          <t>Closure_Model tab, 972-combination grid; the median scenario loses money</t>
        </is>
      </c>
    </row>
    <row r="48">
      <c r="A48" s="3" t="inlineStr">
        <is>
          <t>Closure model best case (favorable tail)</t>
        </is>
      </c>
      <c r="B48" s="8" t="n">
        <v>-9860</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$1.13M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$21.2 million in the conservative case and $24.9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a -$409,446 yearly loss,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even the -$9,860 best case drains reserves faster than status quo, the -$427,087 weighted median much faster; every weighted scenario loses money.</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-427087</v>
      </c>
      <c r="C6" s="9">
        <f>Runway!E7</f>
        <v/>
      </c>
      <c r="D6" s="2" t="inlineStr">
        <is>
          <t>Unpublished</t>
        </is>
      </c>
      <c r="E6" s="2" t="inlineStr">
        <is>
          <t>Closure vote; the weighted median LOSES $427,087 a year (B6 is the grid median; the legacy single-point Closure_Model!B20 is superseded); the grid central case itself loses $409,446, and even the best-case tail still loses $9,860 a year;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drains reserves faster than doing nothing (Runway rows 5-9);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-$415,000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115 students displaced, the 2025-26 end-of-year count)</t>
        </is>
      </c>
      <c r="B34" s="19">
        <f>800000/Exodus_Model!B8</f>
        <v/>
      </c>
      <c r="C34" s="19">
        <f>1000000/Exodus_Model!B8</f>
        <v/>
      </c>
    </row>
    <row r="35">
      <c r="A35" s="3" t="inlineStr">
        <is>
          <t>This report's own model, per displaced student: median / central / best case</t>
        </is>
      </c>
      <c r="B35" s="9">
        <f>-427087/Exodus_Model!B8</f>
        <v/>
      </c>
      <c r="C35" s="9">
        <f>Closure_Model!B47/Exodus_Model!B8</f>
        <v/>
      </c>
      <c r="D35" s="9">
        <f>Closure_Model!B49/Exodus_Model!B8</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$6,957-$8,696 requirement.</t>
        </is>
      </c>
      <c r="B44" s="8" t="n">
        <v>818</v>
      </c>
      <c r="C44" s="19">
        <f>Closure_Model!B47/Exodus_Model!B8</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2026-08-18T03:27:47Z</dcterms:created>
  <dcterms:modified xmlns:dcterms="http://purl.org/dc/terms/" xmlns:xsi="http://www.w3.org/2001/XMLSchema-instance" xsi:type="dcterms:W3CDTF">2026-08-18T03:27:47Z</dcterms:modified>
</cp:coreProperties>
</file>