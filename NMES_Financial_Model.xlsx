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12).</t>
        </is>
      </c>
    </row>
    <row r="21">
      <c r="A21" s="2" t="inlineStr">
        <is>
          <t xml:space="preserve">  Tax rates, fund split, delinquency check, and the 4% three-year path: Tax_History tab (backs Figure 16).</t>
        </is>
      </c>
    </row>
    <row r="22">
      <c r="A22" s="2" t="inlineStr">
        <is>
          <t xml:space="preserve">  Boundary rebalancing and fill-to-capacity scenario: Redistricting tab (backs the Section 9 worked example and Figure 13).</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4"/>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c r="G74" s="17"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Grade-by-grade enrollment is a records ask;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saving is $121K to $725K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17" t="inlineStr">
        <is>
          <t>Scenario (NMES/BCES/CRES caps)</t>
        </is>
      </c>
      <c r="B102" s="17" t="inlineStr">
        <is>
          <t>NMES</t>
        </is>
      </c>
      <c r="C102" s="17" t="inlineStr">
        <is>
          <t>BCES</t>
        </is>
      </c>
      <c r="D102" s="17" t="inlineStr">
        <is>
          <t>CRES</t>
        </is>
      </c>
      <c r="E102" s="17"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3" t="inlineStr">
        <is>
          <t>VALIDATION AGAINST ACTUALS: the empirical marginal cost per student</t>
        </is>
      </c>
      <c r="B111" s="9">
        <f>(8902321-8606870)/(491-461)</f>
        <v/>
      </c>
      <c r="F111" s="21" t="inlineStr">
        <is>
          <t>The actual per-student cost difference between the district's own two large schools on the same 2023-24 filing, about $9,848: an all-in, actuals-derived marginal cost</t>
        </is>
      </c>
    </row>
    <row r="112">
      <c r="A112" s="3" t="inlineStr">
        <is>
          <t>NMES filled to 174 at that empirical marginal cost</t>
        </is>
      </c>
      <c r="B112" s="9">
        <f>(B34+(B6-B5)*B111)/B6</f>
        <v/>
      </c>
      <c r="F112" s="21" t="inlineStr">
        <is>
          <t>About $16,837: still below both receiving schools</t>
        </is>
      </c>
    </row>
    <row r="113">
      <c r="A113" s="3" t="inlineStr">
        <is>
          <t>NMES filled to 154 at that empirical marginal cost</t>
        </is>
      </c>
      <c r="B113" s="9">
        <f>(B34+(154-B5)*B111)/154</f>
        <v/>
      </c>
      <c r="F113" s="21" t="inlineStr">
        <is>
          <t>About $17,744: still below both receiving schools</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12)</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12)</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17" t="inlineStr">
        <is>
          <t>School</t>
        </is>
      </c>
      <c r="B56" s="17" t="inlineStr">
        <is>
          <t>2017 enr</t>
        </is>
      </c>
      <c r="C56" s="17"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2026-07-25T16:40:55Z</dcterms:created>
  <dcterms:modified xsi:type="dcterms:W3CDTF">2026-07-25T16:40:55Z</dcterms:modified>
</cp:coreProperties>
</file>