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8"/>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The payment equals the operating money the plan frees up: the school's claimed cost becomes the mortgage</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yield per year (5 cents per $100)</t>
        </is>
      </c>
      <c r="B66" s="9">
        <f>B65*0.0005</f>
        <v/>
      </c>
    </row>
    <row r="67">
      <c r="A67" s="3" t="inlineStr">
        <is>
          <t>Bonds a nickel supports before state FSPK equalization</t>
        </is>
      </c>
      <c r="B67" s="9">
        <f>B66*(1-(1+B40)^-B41)/B40</f>
        <v/>
      </c>
      <c r="F67" s="21" t="inlineStr">
        <is>
          <t>FSPK equalization adds state dollars on top; KDE's tables set the amount</t>
        </is>
      </c>
    </row>
    <row r="68">
      <c r="A68" s="3" t="inlineStr">
        <is>
          <t>SFCC offers of assistance, typical cycle</t>
        </is>
      </c>
      <c r="B68" s="8" t="n">
        <v>1750000</v>
      </c>
      <c r="F68" s="21" t="inlineStr">
        <is>
          <t>State already pays $1,568,809 of current principal</t>
        </is>
      </c>
    </row>
    <row r="70">
      <c r="A70" s="4" t="inlineStr">
        <is>
          <t>FY2026 YEAR-END, DISTRICT'S OWN KDE BUDGET MONITORING TOOL (UNAUDITED)</t>
        </is>
      </c>
    </row>
    <row r="71">
      <c r="A71" s="2" t="inlineStr">
        <is>
          <t>June 2026 financial packet, board agenda July 16, 2026; MUNIS run July 15, 2026. Audit will finalize these figures.</t>
        </is>
      </c>
    </row>
    <row r="72">
      <c r="A72" s="3" t="inlineStr">
        <is>
          <t>General Fund revenue, FY2026 actual (excludes carryforward and on-behalf)</t>
        </is>
      </c>
      <c r="B72" s="8" t="n">
        <v>22103877</v>
      </c>
    </row>
    <row r="73">
      <c r="A73" s="3" t="inlineStr">
        <is>
          <t>General Fund expenditures, FY2026 actual</t>
        </is>
      </c>
      <c r="B73" s="8" t="n">
        <v>22477866</v>
      </c>
    </row>
    <row r="74">
      <c r="A74" s="3" t="inlineStr">
        <is>
          <t>Net General Fund change, FY2026 (unaudited)</t>
        </is>
      </c>
      <c r="B74" s="30">
        <f>B72-B73</f>
        <v/>
      </c>
      <c r="F74" s="21" t="inlineStr">
        <is>
          <t>Compare net changes of -$1,065,657 in FY2024 and -$1,225,465 in FY2025 (audited)</t>
        </is>
      </c>
    </row>
    <row r="75">
      <c r="A75" s="3" t="inlineStr">
        <is>
          <t>Revenues over budget per the monitoring tool</t>
        </is>
      </c>
      <c r="B75" s="8" t="n">
        <v>2225835</v>
      </c>
    </row>
    <row r="76">
      <c r="A76" s="3" t="inlineStr">
        <is>
          <t>Salaries under budget per the monitoring tool</t>
        </is>
      </c>
      <c r="B76" s="8" t="n">
        <v>587592</v>
      </c>
    </row>
    <row r="77">
      <c r="A77" s="3" t="inlineStr">
        <is>
          <t>Salaries below FY2025 actuals</t>
        </is>
      </c>
      <c r="B77" s="8" t="n">
        <v>223974</v>
      </c>
    </row>
    <row r="78">
      <c r="A78" s="3" t="inlineStr">
        <is>
          <t>Caveat: miscellaneous revenue budgeted at zero, received</t>
        </is>
      </c>
      <c r="B78" s="8" t="n">
        <v>1567829</v>
      </c>
      <c r="F78" s="21" t="inlineStr">
        <is>
          <t>If one-time, the underlying gap is about $1.9 million; the district should identify this receipt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2026-07-23T06:29:57Z</dcterms:created>
  <dcterms:modified xsi:type="dcterms:W3CDTF">2026-07-23T06:29:57Z</dcterms:modified>
</cp:coreProperties>
</file>