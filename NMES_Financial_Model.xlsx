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 name="KY_Closures" sheetId="16" state="visible" r:id="rId16"/>
  </sheets>
  <definedNames/>
  <calcPr calcId="124519" fullCalcOnLoad="1"/>
</workbook>
</file>

<file path=xl/styles.xml><?xml version="1.0" encoding="utf-8"?>
<styleSheet xmlns="http://schemas.openxmlformats.org/spreadsheetml/2006/main">
  <numFmts count="5">
    <numFmt numFmtId="164" formatCode="$#,##0;($#,##0);&quot;-&quot;"/>
    <numFmt numFmtId="165" formatCode="#,##0;(#,##0);&quot;-&quot;"/>
    <numFmt numFmtId="166" formatCode="0.0%"/>
    <numFmt numFmtId="167" formatCode="0.0"/>
    <numFmt numFmtId="168"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(computed in build script, equal weights): median +$91,240; middle half -$17,500 to +$200,000;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3"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5" t="n">
        <v>0.887637</v>
      </c>
      <c r="C67" s="35" t="n">
        <v>0.819273</v>
      </c>
      <c r="D67" s="35" t="n">
        <v>0.823017</v>
      </c>
      <c r="E67" s="8" t="n">
        <v>4006243.38</v>
      </c>
      <c r="F67" s="8" t="n">
        <v>22636266.8</v>
      </c>
    </row>
    <row r="68">
      <c r="A68" s="3" t="inlineStr">
        <is>
          <t>Cane Ridge Elementary (1992)</t>
        </is>
      </c>
      <c r="B68" s="35" t="n">
        <v>0.8120579999999999</v>
      </c>
      <c r="C68" s="35" t="n">
        <v>0.811765</v>
      </c>
      <c r="D68" s="35" t="n">
        <v>0.728249</v>
      </c>
      <c r="E68" s="8" t="n">
        <v>4796308</v>
      </c>
      <c r="F68" s="8" t="n">
        <v>17649638.79</v>
      </c>
    </row>
    <row r="69">
      <c r="A69" s="3" t="inlineStr">
        <is>
          <t>North Middletown Elementary (1948/64)</t>
        </is>
      </c>
      <c r="B69" s="35" t="n">
        <v>0.694064</v>
      </c>
      <c r="C69" s="35" t="n">
        <v>0.702133</v>
      </c>
      <c r="D69" s="35" t="n">
        <v>0.773295</v>
      </c>
      <c r="E69" s="8" t="n">
        <v>3099147.93</v>
      </c>
      <c r="F69" s="8" t="n">
        <v>13670417.6</v>
      </c>
    </row>
    <row r="70">
      <c r="A70" s="3" t="inlineStr">
        <is>
          <t>Bourbon County Middle School (1948)</t>
        </is>
      </c>
      <c r="B70" s="35" t="n">
        <v>0.726249</v>
      </c>
      <c r="C70" s="35" t="n">
        <v>0.727501</v>
      </c>
      <c r="D70" s="35" t="n">
        <v>0.596145</v>
      </c>
      <c r="E70" s="8" t="n">
        <v>12167086.72</v>
      </c>
      <c r="F70" s="8" t="n">
        <v>30127350</v>
      </c>
    </row>
    <row r="71">
      <c r="A71" s="3" t="inlineStr">
        <is>
          <t>Bourbon County High School (1968)</t>
        </is>
      </c>
      <c r="B71" s="35" t="n">
        <v>0.809819</v>
      </c>
      <c r="C71" s="35" t="n">
        <v>0.802057</v>
      </c>
      <c r="D71" s="35" t="n">
        <v>0.792529</v>
      </c>
      <c r="E71" s="8" t="n">
        <v>10251532.33</v>
      </c>
      <c r="F71" s="8" t="n">
        <v>49411909.14</v>
      </c>
    </row>
    <row r="72">
      <c r="A72" s="3" t="inlineStr">
        <is>
          <t>Check: Condition Index = 1 - (4-year renewal needs / replacement value), NMES</t>
        </is>
      </c>
      <c r="B72" s="36">
        <f>1-E69/F69</f>
        <v/>
      </c>
    </row>
    <row r="73">
      <c r="A73" s="3" t="inlineStr">
        <is>
          <t>NMES change between inspection cycles (2020-21 to April 2026)</t>
        </is>
      </c>
      <c r="B73" s="36">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4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reorganization, not a rural town</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intermediate reorganization, not a rural town</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scores fell 10.5 vs state: the cautionary pair</t>
        </is>
      </c>
    </row>
    <row r="31">
      <c r="A31" s="4" t="inlineStr">
        <is>
          <t>THE YARDSTICK: WHAT THIS PLAN REQUIRES PER DISPLACED STUDENT</t>
        </is>
      </c>
    </row>
    <row r="32">
      <c r="A32" s="3" t="inlineStr">
        <is>
          <t>Plan requirement, low / high ($800K-$1M over the 128 students displaced)</t>
        </is>
      </c>
      <c r="B32" s="23">
        <f>800000/Assumptions!B11</f>
        <v/>
      </c>
      <c r="C32" s="23">
        <f>1000000/Assumptions!B11</f>
        <v/>
      </c>
    </row>
    <row r="33">
      <c r="A33" s="3" t="inlineStr">
        <is>
          <t>This report's own model, per displaced student: median / central / best case</t>
        </is>
      </c>
      <c r="B33" s="9">
        <f>91240/Assumptions!B11</f>
        <v/>
      </c>
      <c r="C33" s="9">
        <f>Closure_Model!B47/Assumptions!B11</f>
        <v/>
      </c>
      <c r="D33" s="9">
        <f>Closure_Model!B49/Assumptions!B11</f>
        <v/>
      </c>
    </row>
    <row r="34">
      <c r="A34" s="21" t="inlineStr">
        <is>
          <t>Reading: every plausible case in thirty years landed between about $2,000 and $4,800 per displaced student, and the largest (Perry, Pineville) were bought with new construction. The plan requires $6,250 to $7,813 with no construction. Cases whose gaps exceed roughly a school's own cost per student ($10-13K in those years) are flagged in the notes: such gaps prove budget-wide causes, which is why this model prices closure bottom-up (positions, busing, SEEK) rather than from budget trends.</t>
        </is>
      </c>
    </row>
    <row r="36">
      <c r="A36" s="4" t="inlineStr">
        <is>
          <t>OUTCOMES, WITHIN ONE TESTING SYSTEM (federal proficiency series, closures 2012-2016, change vs state 3 years out)</t>
        </is>
      </c>
    </row>
    <row r="37">
      <c r="A37" s="3" t="inlineStr">
        <is>
          <t>Events measurable / improved 3+ pts / declined 3+ pts / flat</t>
        </is>
      </c>
      <c r="B37" s="10" t="n">
        <v>46</v>
      </c>
      <c r="C37" s="10" t="n">
        <v>13</v>
      </c>
      <c r="D37" s="10" t="n">
        <v>11</v>
      </c>
      <c r="E37" s="10" t="n">
        <v>22</v>
      </c>
    </row>
    <row r="38">
      <c r="A38" s="3" t="inlineStr">
        <is>
          <t>Spearman correlation, share of district displaced vs score change</t>
        </is>
      </c>
      <c r="B38" s="12" t="n">
        <v>-0.28</v>
      </c>
    </row>
    <row r="39">
      <c r="A39" s="3" t="inlineStr">
        <is>
          <t>Median score change: events displacing 15%+ of district / under 15%</t>
        </is>
      </c>
      <c r="B39" s="29" t="n">
        <v>-2</v>
      </c>
      <c r="C39" s="29" t="n">
        <v>0.2</v>
      </c>
    </row>
    <row r="40">
      <c r="A40" s="3" t="inlineStr">
        <is>
          <t>Events with BOTH clear savings and clear gains</t>
        </is>
      </c>
      <c r="B40" s="10" t="n">
        <v>1</v>
      </c>
      <c r="C40" s="2" t="inlineStr">
        <is>
          <t>Leslie County 2013: middle school folded into an existing campus in the same community</t>
        </is>
      </c>
    </row>
    <row r="41">
      <c r="A41" s="3" t="inlineStr">
        <is>
          <t>Cases of a rural town's ELEMENTARY closed with clear savings and clear gains</t>
        </is>
      </c>
      <c r="B41" s="26" t="n">
        <v>0</v>
      </c>
    </row>
    <row r="43">
      <c r="A4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2026-07-26T04:06:21Z</dcterms:created>
  <dcterms:modified xsi:type="dcterms:W3CDTF">2026-07-26T04:06:21Z</dcterms:modified>
</cp:coreProperties>
</file>