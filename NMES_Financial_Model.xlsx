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Defaults" sheetId="3" state="visible" r:id="rId3"/>
    <sheet xmlns:r="http://schemas.openxmlformats.org/officeDocument/2006/relationships" name="GF_Summary" sheetId="4" state="visible" r:id="rId4"/>
    <sheet xmlns:r="http://schemas.openxmlformats.org/officeDocument/2006/relationships" name="Closure_Model" sheetId="5" state="visible" r:id="rId5"/>
    <sheet xmlns:r="http://schemas.openxmlformats.org/officeDocument/2006/relationships" name="Exodus_Model" sheetId="6" state="visible" r:id="rId6"/>
    <sheet xmlns:r="http://schemas.openxmlformats.org/officeDocument/2006/relationships" name="Growth_Model" sheetId="7" state="visible" r:id="rId7"/>
    <sheet xmlns:r="http://schemas.openxmlformats.org/officeDocument/2006/relationships" name="Redistricting" sheetId="8" state="visible" r:id="rId8"/>
    <sheet xmlns:r="http://schemas.openxmlformats.org/officeDocument/2006/relationships" name="Transport_Geo" sheetId="9" state="visible" r:id="rId9"/>
    <sheet xmlns:r="http://schemas.openxmlformats.org/officeDocument/2006/relationships" name="Alternatives" sheetId="10" state="visible" r:id="rId10"/>
    <sheet xmlns:r="http://schemas.openxmlformats.org/officeDocument/2006/relationships" name="Debt_Service" sheetId="11" state="visible" r:id="rId11"/>
    <sheet xmlns:r="http://schemas.openxmlformats.org/officeDocument/2006/relationships" name="Runway" sheetId="12" state="visible" r:id="rId12"/>
    <sheet xmlns:r="http://schemas.openxmlformats.org/officeDocument/2006/relationships" name="Scenarios" sheetId="13" state="visible" r:id="rId13"/>
    <sheet xmlns:r="http://schemas.openxmlformats.org/officeDocument/2006/relationships" name="Tax_History" sheetId="14" state="visible" r:id="rId14"/>
    <sheet xmlns:r="http://schemas.openxmlformats.org/officeDocument/2006/relationships" name="Demographics" sheetId="15" state="visible" r:id="rId15"/>
    <sheet xmlns:r="http://schemas.openxmlformats.org/officeDocument/2006/relationships" name="School_Data" sheetId="16" state="visible" r:id="rId16"/>
    <sheet xmlns:r="http://schemas.openxmlformats.org/officeDocument/2006/relationships" name="Facility_Plans" sheetId="17" state="visible" r:id="rId17"/>
    <sheet xmlns:r="http://schemas.openxmlformats.org/officeDocument/2006/relationships" name="KY_Closures" sheetId="18" state="visible" r:id="rId18"/>
    <sheet xmlns:r="http://schemas.openxmlformats.org/officeDocument/2006/relationships" name="School_Costs" sheetId="19" state="visible" r:id="rId19"/>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00"/>
    <numFmt numFmtId="168" formatCode="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sz val="10"/>
    </font>
    <font>
      <name val="Arial"/>
      <b val="1"/>
      <color rgb="00FFFFFF"/>
      <sz val="11"/>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166" fontId="7" fillId="0" borderId="0" pivotButton="0" quotePrefix="0" xfId="0"/>
    <xf numFmtId="166" fontId="3" fillId="0" borderId="0" pivotButton="0" quotePrefix="0" xfId="0"/>
    <xf numFmtId="164" fontId="7"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167" fontId="3" fillId="0" borderId="0" pivotButton="0" quotePrefix="0" xfId="0"/>
    <xf numFmtId="168" fontId="7" fillId="0" borderId="0" pivotButton="0" quotePrefix="0" xfId="0"/>
    <xf numFmtId="0" fontId="8" fillId="3" borderId="0" pivotButton="0" quotePrefix="0" xfId="0"/>
    <xf numFmtId="164" fontId="6" fillId="0" borderId="0" pivotButton="0" quotePrefix="0" xfId="0"/>
    <xf numFmtId="168" fontId="3" fillId="0" borderId="0" pivotButton="0" quotePrefix="0" xfId="0"/>
    <xf numFmtId="164" fontId="7" fillId="0" borderId="1" pivotButton="0" quotePrefix="0" xfId="0"/>
    <xf numFmtId="165" fontId="6" fillId="0" borderId="0" pivotButton="0" quotePrefix="0" xfId="0"/>
    <xf numFmtId="1" fontId="3" fillId="0" borderId="0" pivotButton="0" quotePrefix="0" xfId="0"/>
    <xf numFmtId="2" fontId="5" fillId="2" borderId="0" pivotButton="0" quotePrefix="0" xfId="0"/>
    <xf numFmtId="168"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7"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7" fillId="0" borderId="0" pivotButton="0" quotePrefix="0" xfId="0"/>
    <xf numFmtId="168" fontId="8" fillId="3" borderId="0" pivotButton="0" quotePrefix="0" xfId="0"/>
    <xf numFmtId="167" fontId="5" fillId="0" borderId="0" pivotButton="0" quotePrefix="0" xfId="0"/>
    <xf numFmtId="167" fontId="7" fillId="0" borderId="0" pivotButton="0" quotePrefix="0" xfId="0"/>
    <xf numFmtId="172" fontId="3" fillId="0" borderId="0" pivotButton="0" quotePrefix="0" xfId="0"/>
    <xf numFmtId="173"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report 'Saving North Middletown Elementary School: A Close Look at Bourbon County Schools' (v5.0, August 2026)</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Every published scenario default (the four facts, the exodus ladder, both calculator defaults, the plan floor/default/top, Eminence, the ledger breakevens) as live formulas: Defaults and Exodus_Model tabs.</t>
        </is>
      </c>
    </row>
    <row r="20">
      <c r="A20" s="2" t="inlineStr">
        <is>
          <t xml:space="preserve">  Multi-year school scores and NMES enrollment history: School_Data tab (backs report Figures 1 and 2).</t>
        </is>
      </c>
    </row>
    <row r="21">
      <c r="A21" s="2" t="inlineStr">
        <is>
          <t xml:space="preserve">  County demographics and the full 1989-2025 NMES enrollment series: Demographics tab (backs Section 10 and Figure 14).</t>
        </is>
      </c>
    </row>
    <row r="22">
      <c r="A22" s="2" t="inlineStr">
        <is>
          <t xml:space="preserve">  Tax rates, fund split, delinquency check, and the recallable options: Tax_History tab (backs Section 10 and Figures 15 and 16).</t>
        </is>
      </c>
    </row>
    <row r="23">
      <c r="A23" s="2" t="inlineStr">
        <is>
          <t xml:space="preserve">  Boundary rebalancing and fill-to-capacity scenario: Redistricting tab (backs the Section 9 worked example and Figure 15).</t>
        </is>
      </c>
    </row>
    <row r="24">
      <c r="A24" s="2" t="inlineStr">
        <is>
          <t xml:space="preserve">  Bonding capacity components and what closure can and cannot change: Debt_Service tab (backs Section 8).</t>
        </is>
      </c>
    </row>
    <row r="25">
      <c r="A25" s="2" t="inlineStr">
        <is>
          <t xml:space="preserve">  Student density, route-mile math, and busing cost scenarios: Transport_Geo tab (backs Appendix B).</t>
        </is>
      </c>
    </row>
    <row r="26">
      <c r="A26" s="3" t="inlineStr"/>
    </row>
    <row r="27">
      <c r="A27" s="4" t="inlineStr">
        <is>
          <t>CAVEAT</t>
        </is>
      </c>
    </row>
    <row r="28">
      <c r="A28" s="3" t="inlineStr">
        <is>
          <t>Prepared by a former NMES King and Bourbon County Colonel working alongside Claude, an AI research assistant from Anthropic. Built from public records and</t>
        </is>
      </c>
    </row>
    <row r="29">
      <c r="A29" s="3" t="inlineStr">
        <is>
          <t>Open Records Requests only. Estimates are labeled; every figure should be re-verified against the cited primary sources before</t>
        </is>
      </c>
    </row>
    <row r="30">
      <c r="A30"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4636</v>
      </c>
      <c r="C6" s="2" t="inlineStr">
        <is>
          <t>Enacted 2026-2028 KY budget; corrected in v5.0 from the House-version $4,626</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128866</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3"/>
  <sheetViews>
    <sheetView showGridLines="1"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60" customWidth="1" min="6" max="6"/>
  </cols>
  <sheetData>
    <row r="1">
      <c r="A1" s="1" t="inlineStr">
        <is>
          <t>Published Scenario Defaults: every headline number on the site, executive summary, and report, as live formulas</t>
        </is>
      </c>
    </row>
    <row r="2">
      <c r="A2" s="2" t="inlineStr">
        <is>
          <t>One row per published default. Blue cells are sourced inputs; black cells compute. If a formula here disagrees with a published artifact, the artifact is wrong: say so and it will be corrected publicly.</t>
        </is>
      </c>
    </row>
    <row r="4">
      <c r="A4" s="4" t="inlineStr">
        <is>
          <t>FACT ONE AND TWO: THE SCHOOL AND ITS COST (Sections 2 and 3)</t>
        </is>
      </c>
    </row>
    <row r="5">
      <c r="A5" s="3" t="inlineStr">
        <is>
          <t>NMES per-student cost, newest state file (2024-25)</t>
        </is>
      </c>
      <c r="B5" s="8" t="n">
        <v>17903</v>
      </c>
    </row>
    <row r="6">
      <c r="A6" s="3" t="inlineStr">
        <is>
          <t>Kentucky elementary average, same file</t>
        </is>
      </c>
      <c r="B6" s="8" t="n">
        <v>19299</v>
      </c>
    </row>
    <row r="7">
      <c r="A7" s="3" t="inlineStr">
        <is>
          <t>NMES below the state average</t>
        </is>
      </c>
      <c r="B7" s="17">
        <f>1-B5/B6</f>
        <v/>
      </c>
      <c r="F7" s="2" t="inlineStr">
        <is>
          <t>Published: 7 percent below</t>
        </is>
      </c>
    </row>
    <row r="8">
      <c r="A8" s="3" t="inlineStr">
        <is>
          <t>District's own cost-of-delivery table, May 21, 2026: NMES / state average</t>
        </is>
      </c>
      <c r="B8" s="8" t="n">
        <v>19080</v>
      </c>
      <c r="C8" s="8" t="n">
        <v>19020</v>
      </c>
    </row>
    <row r="9">
      <c r="A9" s="3" t="inlineStr">
        <is>
          <t>Gap on the district's own table</t>
        </is>
      </c>
      <c r="B9" s="18">
        <f>B8/C8-1</f>
        <v/>
      </c>
      <c r="F9" s="2" t="inlineStr">
        <is>
          <t>Published: three tenths of one percent</t>
        </is>
      </c>
    </row>
    <row r="10">
      <c r="A10" s="3" t="inlineStr">
        <is>
          <t>Share of middle and high schoolers who came through NMES (128 of the 1,040 elementary seats)</t>
        </is>
      </c>
      <c r="B10" s="18">
        <f>Assumptions!B11/1040</f>
        <v/>
      </c>
      <c r="F10" s="2" t="inlineStr">
        <is>
          <t>Published: about one in eight</t>
        </is>
      </c>
    </row>
    <row r="12">
      <c r="A12" s="4" t="inlineStr">
        <is>
          <t>FACT THREE: THE LEDGER WALK AND THE $661,139 CLAIM (Section 4)</t>
        </is>
      </c>
    </row>
    <row r="13">
      <c r="A13" s="3" t="inlineStr">
        <is>
          <t>All-funds dollars coded to org 090, fiscal 2025 MUNIS Cost by ORG</t>
        </is>
      </c>
      <c r="B13" s="8" t="n">
        <v>1285310</v>
      </c>
    </row>
    <row r="14">
      <c r="A14" s="3" t="inlineStr">
        <is>
          <t>Non-General-Fund dollars in that total (grants, on-behalf and other funds, per the ledger's fund split)</t>
        </is>
      </c>
      <c r="B14" s="8" t="n">
        <v>182952</v>
      </c>
      <c r="C14" s="8" t="n">
        <v>161880</v>
      </c>
      <c r="D14" s="8" t="n">
        <v>6941</v>
      </c>
    </row>
    <row r="15">
      <c r="A15" s="3" t="inlineStr">
        <is>
          <t>General Fund actuals coded to the school</t>
        </is>
      </c>
      <c r="B15" s="19">
        <f>B13-B14-C14-D14</f>
        <v/>
      </c>
      <c r="F15" s="2" t="inlineStr">
        <is>
          <t>Published: $933,537 (within 0.55 percent of the $938,690 budget view)</t>
        </is>
      </c>
    </row>
    <row r="16">
      <c r="A16" s="3" t="inlineStr">
        <is>
          <t>Building-bound costs on the ledger (utilities, disposal, telecom, supplies, repairs)</t>
        </is>
      </c>
      <c r="B16" s="8" t="n">
        <v>79211</v>
      </c>
    </row>
    <row r="17">
      <c r="A17" s="3" t="inlineStr">
        <is>
          <t>District worksheet: avoidable expense lines / insurance</t>
        </is>
      </c>
      <c r="B17" s="8" t="n">
        <v>107039</v>
      </c>
      <c r="C17" s="8" t="n">
        <v>20000</v>
      </c>
    </row>
    <row r="18">
      <c r="A18" s="3" t="inlineStr">
        <is>
          <t>Staff-retained saving (ledger) and building-sold ceiling (worksheet)</t>
        </is>
      </c>
      <c r="B18" s="19">
        <f>B16</f>
        <v/>
      </c>
      <c r="C18" s="19">
        <f>B17+C17</f>
        <v/>
      </c>
    </row>
    <row r="19">
      <c r="A19" s="3" t="inlineStr">
        <is>
          <t>The district's $661,139 decomposition: staffing + avoidable lines + insurance + supplies</t>
        </is>
      </c>
      <c r="B19" s="8" t="n">
        <v>493407</v>
      </c>
      <c r="C19" s="9">
        <f>B17</f>
        <v/>
      </c>
      <c r="D19" s="9">
        <f>C17</f>
        <v/>
      </c>
      <c r="E19" s="8" t="n">
        <v>40693</v>
      </c>
    </row>
    <row r="20">
      <c r="A20" s="3" t="inlineStr">
        <is>
          <t>Sum (the claim) and what remains in year one with staff retained and supplies moving</t>
        </is>
      </c>
      <c r="B20" s="19">
        <f>B19+C19+D19+E19</f>
        <v/>
      </c>
      <c r="C20" s="19">
        <f>C18</f>
        <v/>
      </c>
    </row>
    <row r="22">
      <c r="A22" s="4" t="inlineStr">
        <is>
          <t>FACT FOUR, PRE-v5 CONVENTION (superseded by the Exodus_Model tab; kept for the version record)</t>
        </is>
      </c>
    </row>
    <row r="23">
      <c r="A23" s="3" t="inlineStr">
        <is>
          <t>Per-leaver funding: SEEK base + typical add-ons</t>
        </is>
      </c>
      <c r="B23" s="9">
        <f>Assumptions!B6+500</f>
        <v/>
      </c>
      <c r="F23" s="2" t="inlineStr">
        <is>
          <t>$5,136 at the FY2027 base</t>
        </is>
      </c>
    </row>
    <row r="24">
      <c r="A24" s="20" t="inlineStr">
        <is>
          <t>Share who leave / students (of 128) / year one / per year at full effect / total by grade 12</t>
        </is>
      </c>
      <c r="F24" s="21" t="inlineStr">
        <is>
          <t>Year one and full effect price whole students (the site chart's convention); the grade-12 total prices the exact share times the 23.5-year factor: (6+7+8+9+10+11+12+6x13)/6 years of escalating cohorts. Reproduces the published $67K/$144K/$1.5M through $328K/$713K/$7.7M rows.</t>
        </is>
      </c>
    </row>
    <row r="25">
      <c r="A25" s="3" t="inlineStr">
        <is>
          <t>10 percent of the school</t>
        </is>
      </c>
      <c r="B25" s="11">
        <f>ROUND(128*0.1,0)</f>
        <v/>
      </c>
      <c r="C25" s="9">
        <f>B25*$B$23</f>
        <v/>
      </c>
      <c r="D25" s="9">
        <f>ROUND(B25*13/6,0)*$B$23</f>
        <v/>
      </c>
      <c r="E25" s="9">
        <f>128*0.1*$B$23*23.5</f>
        <v/>
      </c>
    </row>
    <row r="26">
      <c r="A26" s="3" t="inlineStr">
        <is>
          <t>20 percent of the school</t>
        </is>
      </c>
      <c r="B26" s="11">
        <f>ROUND(128*0.2,0)</f>
        <v/>
      </c>
      <c r="C26" s="9">
        <f>B26*$B$23</f>
        <v/>
      </c>
      <c r="D26" s="9">
        <f>ROUND(B26*13/6,0)*$B$23</f>
        <v/>
      </c>
      <c r="E26" s="9">
        <f>128*0.2*$B$23*23.5</f>
        <v/>
      </c>
    </row>
    <row r="27">
      <c r="A27" s="3" t="inlineStr">
        <is>
          <t>30 percent of the school</t>
        </is>
      </c>
      <c r="B27" s="11">
        <f>ROUND(128*0.3,0)</f>
        <v/>
      </c>
      <c r="C27" s="9">
        <f>B27*$B$23</f>
        <v/>
      </c>
      <c r="D27" s="9">
        <f>ROUND(B27*13/6,0)*$B$23</f>
        <v/>
      </c>
      <c r="E27" s="9">
        <f>128*0.3*$B$23*23.5</f>
        <v/>
      </c>
    </row>
    <row r="28">
      <c r="A28" s="3" t="inlineStr">
        <is>
          <t>50 percent of the school</t>
        </is>
      </c>
      <c r="B28" s="11">
        <f>ROUND(128*0.5,0)</f>
        <v/>
      </c>
      <c r="C28" s="9">
        <f>B28*$B$23</f>
        <v/>
      </c>
      <c r="D28" s="9">
        <f>ROUND(B28*13/6,0)*$B$23</f>
        <v/>
      </c>
      <c r="E28" s="9">
        <f>128*0.5*$B$23*23.5</f>
        <v/>
      </c>
    </row>
    <row r="30">
      <c r="A30" s="3" t="inlineStr">
        <is>
          <t>Carried funding of the current 128 students: grade counts (K-5) x years to grade 12</t>
        </is>
      </c>
      <c r="B30" s="10" t="n">
        <v>22</v>
      </c>
      <c r="C30" s="10" t="n">
        <v>22</v>
      </c>
      <c r="D30" s="10" t="n">
        <v>19</v>
      </c>
      <c r="E30" s="10" t="n">
        <v>22</v>
      </c>
      <c r="F30" s="10" t="n">
        <v>16</v>
      </c>
      <c r="G30" s="10" t="n">
        <v>27</v>
      </c>
    </row>
    <row r="31">
      <c r="A31" s="3" t="inlineStr">
        <is>
          <t>Student-years, and the carried band at the $4,636 base / $5,136 with add-ons</t>
        </is>
      </c>
      <c r="B31" s="22">
        <f>SUMPRODUCT(B30:G30,{13,12,11,10,9,8})</f>
        <v/>
      </c>
      <c r="C31" s="9">
        <f>B31*Assumptions!B6</f>
        <v/>
      </c>
      <c r="D31" s="9">
        <f>B31*(Assumptions!B6+500)</f>
        <v/>
      </c>
      <c r="F31" s="2" t="inlineStr">
        <is>
          <t>Published: 1,339 student-years, $6.2 to $6.9 million</t>
        </is>
      </c>
    </row>
    <row r="33">
      <c r="A33" s="4" t="inlineStr">
        <is>
          <t>THE TWO CALCULATOR DEFAULTS (the numbers on the site's cards)</t>
        </is>
      </c>
    </row>
    <row r="34">
      <c r="A34" s="3" t="inlineStr">
        <is>
          <t>Closure default: district staffing stance + the survey floor of missing students</t>
        </is>
      </c>
      <c r="B34" s="19">
        <f>B17+C17-63000-74*(Assumptions!B6+500-Assumptions!B62)</f>
        <v/>
      </c>
      <c r="F34" s="21">
        <f> $127,039 kept, minus $63,000 of busing, minus the survey floor of 74 missing students at $5,136 less the $400 supplies credit: the published -$286,425, the 68th percentile of the 4,860-scenario grid; the weighted median is a $474,042 loss (Closure_Model row 50)</f>
        <v/>
      </c>
    </row>
    <row r="35">
      <c r="A35" s="3" t="inlineStr">
        <is>
          <t>Growth default: 30 added students at the grid's low busing and supplies</t>
        </is>
      </c>
      <c r="B35" s="19">
        <f>30*(Assumptions!B6+500-400)</f>
        <v/>
      </c>
      <c r="F35" s="21" t="inlineStr">
        <is>
          <t>The published +$142,080, within $140 of the 19,683-scenario grid's weighted median of $142,220 (Growth_Model rows 17-19); at the central $500 busing and $700 supplies the same 30 students net about $118,000</t>
        </is>
      </c>
    </row>
    <row r="37">
      <c r="A37" s="4" t="inlineStr">
        <is>
          <t>THE PLAN: FLOOR, DEFAULT, AND TOP (the site plan calculator's three published cases)</t>
        </is>
      </c>
    </row>
    <row r="38">
      <c r="A38" s="3" t="inlineStr"/>
      <c r="B38" s="20" t="inlineStr">
        <is>
          <t>Floor</t>
        </is>
      </c>
      <c r="C38" s="20" t="inlineStr">
        <is>
          <t>Default</t>
        </is>
      </c>
      <c r="D38" s="20" t="inlineStr">
        <is>
          <t>Top</t>
        </is>
      </c>
    </row>
    <row r="39">
      <c r="A39" s="3" t="inlineStr">
        <is>
          <t>Recovered leakage students (of the 550-student pool)</t>
        </is>
      </c>
      <c r="B39" s="10" t="n">
        <v>0</v>
      </c>
      <c r="C39" s="10" t="n">
        <v>275</v>
      </c>
      <c r="D39" s="10" t="n">
        <v>550</v>
      </c>
    </row>
    <row r="40">
      <c r="A40" s="3" t="inlineStr">
        <is>
          <t>Enrollment lever at $4,236 net of supplies</t>
        </is>
      </c>
      <c r="B40" s="9">
        <f>B39*(Assumptions!B6-Assumptions!B62)</f>
        <v/>
      </c>
      <c r="C40" s="9">
        <f>C39*(Assumptions!B6-Assumptions!B62)</f>
        <v/>
      </c>
      <c r="D40" s="9">
        <f>D39*(Assumptions!B6-Assumptions!B62)</f>
        <v/>
      </c>
    </row>
    <row r="41">
      <c r="A41" s="3" t="inlineStr">
        <is>
          <t>Counted-once fixed-cost package</t>
        </is>
      </c>
      <c r="B41" s="8" t="n">
        <v>760000</v>
      </c>
      <c r="C41" s="8" t="n">
        <v>760000</v>
      </c>
      <c r="D41" s="8" t="n">
        <v>1300000</v>
      </c>
    </row>
    <row r="42">
      <c r="A42" s="3" t="inlineStr">
        <is>
          <t>Full 2018 rate restore (live from Tax_History)</t>
        </is>
      </c>
      <c r="B42" s="9">
        <f>Tax_History!D79</f>
        <v/>
      </c>
      <c r="C42" s="9">
        <f>Tax_History!D79</f>
        <v/>
      </c>
      <c r="D42" s="9">
        <f>Tax_History!D79</f>
        <v/>
      </c>
    </row>
    <row r="43">
      <c r="A43" s="3" t="inlineStr">
        <is>
          <t>Trending fiscal 2026 gap (June 2026 ledger, before transfers)</t>
        </is>
      </c>
      <c r="B43" s="8" t="n">
        <v>1738653</v>
      </c>
      <c r="C43" s="8" t="n">
        <v>1738653</v>
      </c>
      <c r="D43" s="8" t="n">
        <v>1738653</v>
      </c>
    </row>
    <row r="44">
      <c r="A44" s="20" t="inlineStr">
        <is>
          <t>Surplus after the gap</t>
        </is>
      </c>
      <c r="B44" s="19">
        <f>B40+B41+B42-B43</f>
        <v/>
      </c>
      <c r="C44" s="19">
        <f>C40+C41+C42-C43</f>
        <v/>
      </c>
      <c r="D44" s="19">
        <f>D40+D41+D42-D43</f>
        <v/>
      </c>
      <c r="F44" s="2" t="inlineStr">
        <is>
          <t>Published: about $500,000 / $1,665,325 / $3.4 million to spare</t>
        </is>
      </c>
    </row>
    <row r="45">
      <c r="A45" s="3" t="inlineStr">
        <is>
          <t>5 percent certified raise ($10,000,388 GF certified payroll x 5% x 1.0145)</t>
        </is>
      </c>
      <c r="B45" s="9">
        <f>10000388*0.05*1.0145</f>
        <v/>
      </c>
      <c r="C45" s="9">
        <f>10000388*0.05*1.0145</f>
        <v/>
      </c>
      <c r="D45" s="9">
        <f>10000388*0.05*1.0145</f>
        <v/>
      </c>
    </row>
    <row r="46">
      <c r="A46" s="3" t="inlineStr">
        <is>
          <t>Left for new debt service (negative at the floor: within $7,000 of the raise)</t>
        </is>
      </c>
      <c r="B46" s="9">
        <f>B44-B45</f>
        <v/>
      </c>
      <c r="C46" s="9">
        <f>C44-C45</f>
        <v/>
      </c>
      <c r="D46" s="9">
        <f>D44-D45</f>
        <v/>
      </c>
    </row>
    <row r="47">
      <c r="A47" s="3" t="inlineStr">
        <is>
          <t>New bonds at 4.5 percent, 20 years (factor below), floored at zero</t>
        </is>
      </c>
      <c r="B47" s="9">
        <f>MAX(B46,0)*$B$50</f>
        <v/>
      </c>
      <c r="C47" s="9">
        <f>MAX(C46,0)*$B$50</f>
        <v/>
      </c>
      <c r="D47" s="9">
        <f>MAX(D46,0)*$B$50</f>
        <v/>
      </c>
    </row>
    <row r="48">
      <c r="A48" s="20" t="inlineStr">
        <is>
          <t>Building capacity with the advisor's $32 million</t>
        </is>
      </c>
      <c r="B48" s="19">
        <f>B47+32000000</f>
        <v/>
      </c>
      <c r="C48" s="19">
        <f>C47+32000000</f>
        <v/>
      </c>
      <c r="D48" s="19">
        <f>D47+32000000</f>
        <v/>
      </c>
      <c r="F48" s="2" t="inlineStr">
        <is>
          <t>Published: the advisor's $32 million at the floor; about $47 million at the default; about $69 million at the top</t>
        </is>
      </c>
    </row>
    <row r="50">
      <c r="A50" s="3" t="inlineStr">
        <is>
          <t>Annuity factor, 4.5 percent, 20 years</t>
        </is>
      </c>
      <c r="B50" s="23">
        <f>(1-1.045^-20)/0.045</f>
        <v/>
      </c>
    </row>
    <row r="52">
      <c r="A52" s="4" t="inlineStr">
        <is>
          <t>GROWTH CONTEXT DEFAULTS (Section 10)</t>
        </is>
      </c>
    </row>
    <row r="53">
      <c r="A53" s="3" t="inlineStr">
        <is>
          <t>Eminence Independent, 2014 to 2024 enrollment, and its growth</t>
        </is>
      </c>
      <c r="B53" s="10" t="n">
        <v>733</v>
      </c>
      <c r="C53" s="10" t="n">
        <v>991</v>
      </c>
      <c r="D53" s="18">
        <f>C53/B53-1</f>
        <v/>
      </c>
      <c r="F53" s="2" t="inlineStr">
        <is>
          <t>Published: grew 35 percent in the decade Bourbon Schools shrank 10</t>
        </is>
      </c>
    </row>
    <row r="54">
      <c r="A54" s="3" t="inlineStr">
        <is>
          <t>Bourbon County Schools, 2014 to 2023 enrollment, and its decline</t>
        </is>
      </c>
      <c r="B54" s="10" t="n">
        <v>2912</v>
      </c>
      <c r="C54" s="10" t="n">
        <v>2616</v>
      </c>
      <c r="D54" s="18">
        <f>C54/B54-1</f>
        <v/>
      </c>
    </row>
    <row r="55">
      <c r="A55" s="21" t="inlineStr">
        <is>
          <t>Leakage pool pricing: see Redistricting rows 136-140 (documented floor 483; gross $2.1-$2.5M at the full base; net $1.9-$2.3M at $4,236)</t>
        </is>
      </c>
    </row>
    <row r="56">
      <c r="A56" s="21" t="inlineStr">
        <is>
          <t>Rate menu: see Tax_History rows 70-89 ($166,189 per real cent; the four options and the sequencing)</t>
        </is>
      </c>
    </row>
    <row r="58">
      <c r="A58" s="4" t="inlineStr">
        <is>
          <t>BREAKEVEN TABLE, LEDGER-CODED VIEW (Section 4; the all-in view is on School_Costs)</t>
        </is>
      </c>
    </row>
    <row r="59">
      <c r="A59" s="3" t="inlineStr">
        <is>
          <t>Revenue per member (all-funds spending of about $41.8M across about 2,615 members)</t>
        </is>
      </c>
      <c r="B59" s="8" t="n">
        <v>15983</v>
      </c>
    </row>
    <row r="60">
      <c r="A60" s="20" t="inlineStr">
        <is>
          <t>School / coded by the district / enrolled / breakeven / clears by</t>
        </is>
      </c>
      <c r="F60" s="21" t="inlineStr">
        <is>
          <t>Every school clears on the ledger-coded definition; the all-in report-card definition fails every school. The swing is the definitions, which is why they should be chosen and published before any vote.</t>
        </is>
      </c>
    </row>
    <row r="61">
      <c r="A61" s="3" t="inlineStr">
        <is>
          <t>North Middletown</t>
        </is>
      </c>
      <c r="B61" s="8" t="n">
        <v>1285310</v>
      </c>
      <c r="C61" s="10" t="n">
        <v>128</v>
      </c>
      <c r="D61" s="11">
        <f>ROUND(B61/$B$59,0)</f>
        <v/>
      </c>
      <c r="E61" s="11">
        <f>C61-D61</f>
        <v/>
      </c>
    </row>
    <row r="62">
      <c r="A62" s="3" t="inlineStr">
        <is>
          <t>Bourbon Central</t>
        </is>
      </c>
      <c r="B62" s="8" t="n">
        <v>4033689</v>
      </c>
      <c r="C62" s="10" t="n">
        <v>459</v>
      </c>
      <c r="D62" s="11">
        <f>ROUND(B62/$B$59,0)</f>
        <v/>
      </c>
      <c r="E62" s="11">
        <f>C62-D62</f>
        <v/>
      </c>
    </row>
    <row r="63">
      <c r="A63" s="3" t="inlineStr">
        <is>
          <t>Cane Ridge</t>
        </is>
      </c>
      <c r="B63" s="8" t="n">
        <v>4326733</v>
      </c>
      <c r="C63" s="10" t="n">
        <v>453</v>
      </c>
      <c r="D63" s="11">
        <f>ROUND(B63/$B$59,0)</f>
        <v/>
      </c>
      <c r="E63" s="11">
        <f>C63-D63</f>
        <v/>
      </c>
    </row>
    <row r="64">
      <c r="A64" s="3" t="inlineStr">
        <is>
          <t>Bourbon County Middle</t>
        </is>
      </c>
      <c r="B64" s="8" t="n">
        <v>3868106</v>
      </c>
      <c r="C64" s="10" t="n">
        <v>590</v>
      </c>
      <c r="D64" s="11">
        <f>ROUND(B64/$B$59,0)</f>
        <v/>
      </c>
      <c r="E64" s="11">
        <f>C64-D64</f>
        <v/>
      </c>
    </row>
    <row r="65">
      <c r="A65" s="3" t="inlineStr">
        <is>
          <t>Bourbon County High</t>
        </is>
      </c>
      <c r="B65" s="8" t="n">
        <v>5515105</v>
      </c>
      <c r="C65" s="10" t="n">
        <v>766</v>
      </c>
      <c r="D65" s="11">
        <f>ROUND(B65/$B$59,0)</f>
        <v/>
      </c>
      <c r="E65" s="11">
        <f>C65-D65</f>
        <v/>
      </c>
    </row>
    <row r="67">
      <c r="A67" s="4" t="inlineStr">
        <is>
          <t>PEER YARDSTICK: FAYETTE COUNTY, SAME FISCAL YEAR (Section 7)</t>
        </is>
      </c>
    </row>
    <row r="68">
      <c r="A68" s="3" t="inlineStr"/>
      <c r="B68" s="20" t="inlineStr">
        <is>
          <t>Bourbon</t>
        </is>
      </c>
      <c r="C68" s="20" t="inlineStr">
        <is>
          <t>Fayette (audited)</t>
        </is>
      </c>
      <c r="D68" s="20" t="inlineStr">
        <is>
          <t>Fayette (adjusted)</t>
        </is>
      </c>
    </row>
    <row r="69">
      <c r="A69" s="3" t="inlineStr">
        <is>
          <t>General Fund expenditures, FY2025</t>
        </is>
      </c>
      <c r="B69" s="8" t="n">
        <v>29097404</v>
      </c>
      <c r="C69" s="8" t="n">
        <v>685348803</v>
      </c>
      <c r="D69" s="8" t="n">
        <v>690460223</v>
      </c>
      <c r="F69" s="21" t="inlineStr">
        <is>
          <t>Bourbon and Fayette FY2025 audits, both archived under build/. The Fayette 'adjusted' column is Weaver, L.L.P.'s Audit of Budget Processes and Expenditures, presented to the Fayette board August 3, 2026 (build/fcps_weaver_audit_2026_08.pdf, Finding A.4): after unaudited corrections the district made to its own FY2025 ledger in June 2026, the ending balance was about $6,902,403, roughly 1 percent of $690,460,223. Weaver labels those figures unaudited and subject to change; they are carried here the same way.</t>
        </is>
      </c>
    </row>
    <row r="70">
      <c r="A70" s="3" t="inlineStr">
        <is>
          <t>Operating gap before transfers</t>
        </is>
      </c>
      <c r="B70" s="8" t="n">
        <v>2648086</v>
      </c>
      <c r="C70" s="8" t="n">
        <v>38907376</v>
      </c>
      <c r="D70" s="3" t="inlineStr"/>
    </row>
    <row r="71">
      <c r="A71" s="3" t="inlineStr">
        <is>
          <t>Gap per dollar spent</t>
        </is>
      </c>
      <c r="B71" s="18">
        <f>B70/B69</f>
        <v/>
      </c>
      <c r="C71" s="18">
        <f>C70/C69</f>
        <v/>
      </c>
    </row>
    <row r="72">
      <c r="A72" s="3" t="inlineStr">
        <is>
          <t>Fund balance, beginning of year</t>
        </is>
      </c>
      <c r="B72" s="8" t="n">
        <v>5516305</v>
      </c>
      <c r="C72" s="8" t="n">
        <v>43291115</v>
      </c>
      <c r="D72" s="2" t="inlineStr">
        <is>
          <t>n/a</t>
        </is>
      </c>
    </row>
    <row r="73">
      <c r="A73" s="3" t="inlineStr">
        <is>
          <t>Fund balance, end of year</t>
        </is>
      </c>
      <c r="B73" s="8" t="n">
        <v>4290840</v>
      </c>
      <c r="C73" s="8" t="n">
        <v>28361786</v>
      </c>
      <c r="D73" s="8" t="n">
        <v>6902403</v>
      </c>
    </row>
    <row r="74">
      <c r="A74" s="20" t="inlineStr">
        <is>
          <t>Reserve per dollar spent (the published cushion)</t>
        </is>
      </c>
      <c r="B74" s="17">
        <f>B73/B69</f>
        <v/>
      </c>
      <c r="C74" s="17">
        <f>C73/C69</f>
        <v/>
      </c>
      <c r="D74" s="17">
        <f>D73/D69</f>
        <v/>
      </c>
      <c r="F74" s="2" t="inlineStr">
        <is>
          <t>Published: Bourbon 14.7 cents of reserve per dollar, Fayette 4.1 on its audit and about 1.0 after its own adjustments</t>
        </is>
      </c>
    </row>
    <row r="75">
      <c r="A75" s="3" t="inlineStr">
        <is>
          <t>Drawdown during the year</t>
        </is>
      </c>
      <c r="B75" s="9">
        <f>B72-B73</f>
        <v/>
      </c>
      <c r="C75" s="9">
        <f>C72-C73</f>
        <v/>
      </c>
    </row>
    <row r="76">
      <c r="A76" s="20" t="inlineStr">
        <is>
          <t>Drawdown per dollar spent (the burn rate)</t>
        </is>
      </c>
      <c r="B76" s="17">
        <f>B75/B69</f>
        <v/>
      </c>
      <c r="C76" s="17">
        <f>C75/C69</f>
        <v/>
      </c>
    </row>
    <row r="77">
      <c r="A77" s="20" t="inlineStr">
        <is>
          <t>Years of cushion on the net-change basis (flattered by transfers in)</t>
        </is>
      </c>
      <c r="B77" s="24">
        <f>B73/B75</f>
        <v/>
      </c>
      <c r="C77" s="24">
        <f>C73/C75</f>
        <v/>
      </c>
      <c r="F77" s="21" t="inlineStr">
        <is>
          <t>On the net-change basis Bourbon shows about three and a half years and Fayette under two, but both are flattered by transfers in; row 83 gives the operations-alone runway the artifacts publish. Drawdown and runway are computed on audited figures only; Weaver's waterfall runs from the planned contingency rather than the audited opening balance, so its closing figure is not differenced against an audited opening here.</t>
        </is>
      </c>
    </row>
    <row r="78">
      <c r="A78" s="3" t="inlineStr">
        <is>
          <t>Difference between the audited ending balance and Weaver's post-adjustment figure for the same date (not reconciled in Weaver's deck; the two rest on different bases)</t>
        </is>
      </c>
      <c r="C78" s="19">
        <f>C73-D73</f>
        <v/>
      </c>
    </row>
    <row r="79">
      <c r="A79" s="3" t="inlineStr">
        <is>
          <t>KRS 160.470(6)(a) 2 percent minimum reserve, on Fayette's adjusted spending</t>
        </is>
      </c>
      <c r="D79" s="9">
        <f>D69*0.02</f>
        <v/>
      </c>
      <c r="F79" s="21" t="inlineStr">
        <is>
          <t>Weaver: the adjusted balance sits below both the statutory minimum every Kentucky district must budget and Fayette's own 6 percent policy. Weaver's 70-plus recommendations and 10 priority actions concern budget controls, forecasting, reconciliation, reporting and reserve replenishment; none is a school closure.</t>
        </is>
      </c>
    </row>
    <row r="80">
      <c r="A80" s="3" t="inlineStr">
        <is>
          <t>Fayette's own 6 percent administrative threshold</t>
        </is>
      </c>
      <c r="D80" s="9">
        <f>D69*0.06</f>
        <v/>
      </c>
    </row>
    <row r="81">
      <c r="A81" s="3" t="inlineStr">
        <is>
          <t>Net other financing in (the gap less the net change): the transfers that flattered the burn</t>
        </is>
      </c>
      <c r="B81" s="9">
        <f>B70-B75</f>
        <v/>
      </c>
      <c r="C81" s="9">
        <f>C70-C75</f>
        <v/>
      </c>
    </row>
    <row r="82">
      <c r="A82" s="3" t="inlineStr">
        <is>
          <t>OF WHICH the capital-to-General-Fund sweep (Bourbon; the plan ends it)</t>
        </is>
      </c>
      <c r="B82" s="8" t="n">
        <v>1320939</v>
      </c>
    </row>
    <row r="83">
      <c r="A83" s="20" t="inlineStr">
        <is>
          <t>Years of cushion on OPERATIONS ALONE (reserve / gap before transfers): the planning number</t>
        </is>
      </c>
      <c r="B83" s="24">
        <f>B73/B70</f>
        <v/>
      </c>
      <c r="C83" s="24">
        <f>C73/C70</f>
        <v/>
      </c>
      <c r="F83" s="21" t="inlineStr">
        <is>
          <t>Bourbon about 1.6 years, Fayette about 0.7 on their audited books. This is the basis the published comparison leads with, because the plan ends the sweep and the sweep is what holds the net-change burn down to 4.2 cents. Weaver's unaudited view puts Fayette's cushion nearer 1 percent of spending.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25" t="inlineStr"/>
      <c r="B3" s="25" t="inlineStr">
        <is>
          <t>FY2023</t>
        </is>
      </c>
      <c r="C3" s="25" t="inlineStr">
        <is>
          <t>FY2024</t>
        </is>
      </c>
      <c r="D3" s="25" t="inlineStr">
        <is>
          <t>FY2025</t>
        </is>
      </c>
    </row>
    <row r="4">
      <c r="A4" s="3" t="inlineStr">
        <is>
          <t>Revenues before transfers</t>
        </is>
      </c>
      <c r="B4" s="26">
        <f>Assumptions!B19</f>
        <v/>
      </c>
      <c r="C4" s="26">
        <f>Assumptions!B20</f>
        <v/>
      </c>
      <c r="D4" s="26">
        <f>Assumptions!B21</f>
        <v/>
      </c>
    </row>
    <row r="5">
      <c r="A5" s="3" t="inlineStr">
        <is>
          <t>Expenditures before transfers</t>
        </is>
      </c>
      <c r="B5" s="26">
        <f>Assumptions!B22</f>
        <v/>
      </c>
      <c r="C5" s="26">
        <f>Assumptions!B23</f>
        <v/>
      </c>
      <c r="D5" s="26">
        <f>Assumptions!B24</f>
        <v/>
      </c>
    </row>
    <row r="6">
      <c r="A6" s="3" t="inlineStr">
        <is>
          <t>Operating result before transfers</t>
        </is>
      </c>
      <c r="B6" s="9">
        <f>B4-B5</f>
        <v/>
      </c>
      <c r="C6" s="9">
        <f>C4-C5</f>
        <v/>
      </c>
      <c r="D6" s="9">
        <f>D4-D5</f>
        <v/>
      </c>
    </row>
    <row r="7">
      <c r="A7" s="3" t="inlineStr">
        <is>
          <t>Net transfers &amp; other sources</t>
        </is>
      </c>
      <c r="C7" s="26">
        <f>Assumptions!B25</f>
        <v/>
      </c>
      <c r="D7" s="26">
        <f>Assumptions!B26</f>
        <v/>
      </c>
    </row>
    <row r="8">
      <c r="A8" s="3" t="inlineStr">
        <is>
          <t>Change in fund balance</t>
        </is>
      </c>
      <c r="C8" s="9">
        <f>C6+C7</f>
        <v/>
      </c>
      <c r="D8" s="9">
        <f>D6+D7</f>
        <v/>
      </c>
    </row>
    <row r="9">
      <c r="A9" s="3" t="inlineStr">
        <is>
          <t>Ending fund balance</t>
        </is>
      </c>
      <c r="B9" s="26">
        <f>Assumptions!B27</f>
        <v/>
      </c>
      <c r="C9" s="26">
        <f>Assumptions!B28</f>
        <v/>
      </c>
      <c r="D9" s="26">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8">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7">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26">
        <f>Assumptions!B14*Assumptions!B11</f>
        <v/>
      </c>
    </row>
    <row r="7">
      <c r="A7" s="3" t="inlineStr">
        <is>
          <t>State/local share of site spending</t>
        </is>
      </c>
      <c r="B7" s="26">
        <f>Assumptions!B15*Assumptions!B11</f>
        <v/>
      </c>
    </row>
    <row r="9">
      <c r="A9" s="4" t="inlineStr">
        <is>
          <t>RECURRING SAVINGS (costs that truly disappear)</t>
        </is>
      </c>
    </row>
    <row r="10">
      <c r="A10" s="3" t="inlineStr">
        <is>
          <t>Principal &amp; office</t>
        </is>
      </c>
      <c r="B10" s="26">
        <f>Assumptions!B51</f>
        <v/>
      </c>
    </row>
    <row r="11">
      <c r="A11" s="3" t="inlineStr">
        <is>
          <t>Plant, utilities, insurance (net of carrying cost)</t>
        </is>
      </c>
      <c r="B11" s="26">
        <f>Assumptions!B52</f>
        <v/>
      </c>
    </row>
    <row r="12">
      <c r="A12" s="3" t="inlineStr">
        <is>
          <t>Teaching positions eliminated (via attrition, GF-borne cost)</t>
        </is>
      </c>
      <c r="B12" s="26">
        <f>Assumptions!B53*Assumptions!B69</f>
        <v/>
      </c>
      <c r="C12" s="21" t="inlineStr">
        <is>
          <t>v3: GF-borne $60K per position (state pays TRS/KEHP on-behalf); prior versions used the $85K all-in figure here</t>
        </is>
      </c>
    </row>
    <row r="13">
      <c r="A13" s="20" t="inlineStr">
        <is>
          <t>Gross avoidable cost</t>
        </is>
      </c>
      <c r="B13" s="19">
        <f>SUM(B10:B12)</f>
        <v/>
      </c>
    </row>
    <row r="15">
      <c r="A15" s="4" t="inlineStr">
        <is>
          <t>RECURRING OFFSETS (new costs and lost revenue)</t>
        </is>
      </c>
    </row>
    <row r="16">
      <c r="A16" s="3" t="inlineStr">
        <is>
          <t>Added busing</t>
        </is>
      </c>
      <c r="B16" s="26">
        <f>Assumptions!B54</f>
        <v/>
      </c>
    </row>
    <row r="17">
      <c r="A17" s="3" t="inlineStr">
        <is>
          <t>SEEK revenue lost to departing students (FY2027 base)</t>
        </is>
      </c>
      <c r="B17" s="26">
        <f>Assumptions!B55*Assumptions!B6</f>
        <v/>
      </c>
    </row>
    <row r="18">
      <c r="A18" s="20" t="inlineStr">
        <is>
          <t>Total offsets</t>
        </is>
      </c>
      <c r="B18" s="19">
        <f>SUM(B16:B17)</f>
        <v/>
      </c>
    </row>
    <row r="20">
      <c r="A20" s="20" t="inlineStr">
        <is>
          <t>NET RECURRING GENERAL FUND SAVING (LEGACY single-point scenario on superseded inputs; the published model is the 4,860-scenario grid at row 37, median a $474,042 LOSS)</t>
        </is>
      </c>
      <c r="B20" s="28">
        <f>B13-B18</f>
        <v/>
      </c>
    </row>
    <row r="21">
      <c r="A21" s="3" t="inlineStr">
        <is>
          <t>Share of the structural deficit ($2.65M) | of the reserve drawdown ($1.15M)</t>
        </is>
      </c>
      <c r="B21" s="18">
        <f>B20/(Assumptions!B24-Assumptions!B21)</f>
        <v/>
      </c>
      <c r="C21" s="18">
        <f>B20/GF_Summary!D16</f>
        <v/>
      </c>
    </row>
    <row r="22">
      <c r="A22" s="3" t="inlineStr">
        <is>
          <t>One-time transition cost (year one)</t>
        </is>
      </c>
      <c r="B22" s="26">
        <f>Assumptions!B56</f>
        <v/>
      </c>
    </row>
    <row r="24">
      <c r="A24" s="4" t="inlineStr">
        <is>
          <t>SENSITIVITY: STUDENTS LEAVING THE DISTRICT</t>
        </is>
      </c>
    </row>
    <row r="25">
      <c r="A25" s="20" t="inlineStr">
        <is>
          <t>Students leaving</t>
        </is>
      </c>
      <c r="B25" s="20"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26">
        <f>Assumptions!B41</f>
        <v/>
      </c>
      <c r="C34" s="21" t="inlineStr">
        <is>
          <t>Correct for KDE per-pupil comparisons; the district books $6.94M of on-behalf in FY2026</t>
        </is>
      </c>
    </row>
    <row r="35">
      <c r="A35" s="3" t="inlineStr">
        <is>
          <t>GF-borne cost per position (salary + ~5%)</t>
        </is>
      </c>
      <c r="B35" s="26">
        <f>Assumptions!B69</f>
        <v/>
      </c>
      <c r="C35" s="21" t="inlineStr">
        <is>
          <t>Published schedule: Rank III $41,718 (yr 0) to Rank I $71,447 (yr 29-30). The state pays TRS and KEHP on behalf of districts; eliminating a GF position saves the GF only $50K-$75K</t>
        </is>
      </c>
    </row>
    <row r="37">
      <c r="A37" s="4" t="inlineStr">
        <is>
          <t>V5.0 TWO-TAILED SENSITIVITY: EIGHT LEVERS, 4,860 COMBINATIONS (backs Figure 5; THIS GRID, not the legacy single-point rows above, is the published closure model)</t>
        </is>
      </c>
    </row>
    <row r="38">
      <c r="A38" s="25" t="inlineStr">
        <is>
          <t>Lever (low / central / high)</t>
        </is>
      </c>
      <c r="B38" s="25" t="inlineStr">
        <is>
          <t>Low</t>
        </is>
      </c>
      <c r="C38" s="25" t="inlineStr">
        <is>
          <t>Central</t>
        </is>
      </c>
      <c r="D38" s="25" t="inlineStr">
        <is>
          <t>High</t>
        </is>
      </c>
      <c r="E38" s="25"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170 to 175 days, $3.25-$4.75/mile (KDE/NAPT band), high stop adds one $45,000 route split. Per zone student $160/$492/$1,495 vs the $1,032 district average. The July 2026 records response produced the current routes but answered N/A for any routing study or ride-time analysis.</t>
        </is>
      </c>
    </row>
    <row r="43">
      <c r="A43" s="3" t="inlineStr">
        <is>
          <t>Students missing from the rolls at steady state (grid legs 38/74/137/167/194)</t>
        </is>
      </c>
      <c r="B43" s="10" t="n">
        <v>38</v>
      </c>
      <c r="C43" s="8" t="n">
        <v>137</v>
      </c>
      <c r="D43" s="8" t="n">
        <v>194</v>
      </c>
      <c r="E43" s="2" t="inlineStr">
        <is>
          <t>From the August 2026 school-choice survey (anonymized in build/) and build/exodus_model.py: 74 = the floor, 31 signed households' 70 children at 5.83 per class x 12.62 effective years of the district's own grade-to-grade survival; 137/167/194 = the response-bias-corrected posterior quartiles at the class midpoint; 38 = roughly half the floor, the skeptic's leg. Exits free and funded under HB 563. The state's SAAR files corroborate: kindergarten 12 in 2025-26 against a 21-31 norm; end-of-year 141/128/115 across 2023-24 to 2025-26.</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19">
        <f>C39+C40+C41*54479.4-C42-C43*(Assumptions!B6+C44-Assumptions!B62)-C45</f>
        <v/>
      </c>
      <c r="C47" s="2" t="inlineStr">
        <is>
          <t>-$463,042: the central case itself loses money, about 17 percent of the structural deficit added, not removed</t>
        </is>
      </c>
    </row>
    <row r="48">
      <c r="A48" s="3" t="inlineStr">
        <is>
          <t>Unfavorable tail (all levers adverse)</t>
        </is>
      </c>
      <c r="B48" s="9">
        <f>B39+B40+B41*54479.4-D42-D43*(Assumptions!B6+D44-Assumptions!B62)-D45</f>
        <v/>
      </c>
      <c r="C48" s="2" t="inlineStr">
        <is>
          <t>-$1,247,265 a year: the closure loses money</t>
        </is>
      </c>
    </row>
    <row r="49">
      <c r="A49" s="3" t="inlineStr">
        <is>
          <t>Favorable tail (all levers favorable)</t>
        </is>
      </c>
      <c r="B49" s="9">
        <f>D39+D40+D41*54479.4-B42-B43*(Assumptions!B6+B44-Assumptions!B62)-B45</f>
        <v/>
      </c>
      <c r="C49" s="2" t="inlineStr">
        <is>
          <t>+$323,614 a year: the grid's best case (every lever at its closure-friendliest, only the survey's skeptic-leg leavers), still below the plan's $800K-$1M requirement</t>
        </is>
      </c>
    </row>
    <row r="50">
      <c r="A50" s="21" t="inlineStr">
        <is>
          <t>Distribution of all 4,860 combinations enumerated by build/closure_grid.py: capture, fixed-position, add-ons, property and busing levers take three values each, teachers four (0/1/2/3) and missing students five (38/74/137/167/194): 3^5 x 4 x 5 = 4,860. Each missing student is priced at the enacted FY2027 SEEK base of $4,636 plus the add-ons lever, minus the $400 of supplies that stop being spent (Assumptions row 62, the same figure the growth model charges each recruit); teacher savings appear ONLY on the teachers-cut lever, so staffing is never counted twice. v5.0 lever weights: triangular 1-2-1 on the five levers with a documented central setting; uniform on teachers; survey-anchored 1-2-2-2-1 on missing students. Weighted median -$474,042 (the median scenario LOSES money); middle half -$657,341 to -$217,247; 94 percent of weighted scenarios negative; range -$1,247,265 to +$323,614 (unweighted median -$469,905). One-time transition costs $100K-$300K in year one are additional. The v4.5 grid (5,832 scenarios, weighted median -$20,007, 55 percent negative) and the v3.9 grid (2,916, median +$21,571) are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CLOSED 2006 (2006-07 CCD FILE; STUDENTS TO THE 2007 CANE RIDGE ADDITION): THE COUNTY'S OWN PRECEDENT (backs Figure 6)</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1"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60" customWidth="1" min="6" max="6"/>
  </cols>
  <sheetData>
    <row r="1">
      <c r="A1" s="4" t="inlineStr">
        <is>
          <t>THE EXODUS MODEL: WHAT LEAVING FAMILIES COST, FROM THE AUGUST 2026 SCHOOL-CHOICE SURVEY</t>
        </is>
      </c>
    </row>
    <row r="2">
      <c r="A2" s="21" t="inlineStr">
        <is>
          <t>Every figure reproduced by build/exodus_model.py from the anonymized survey (build/survey_school_choice_2026_08_anonymized.csv). Names and dates are never published.</t>
        </is>
      </c>
    </row>
    <row r="4">
      <c r="A4" s="4" t="inlineStr">
        <is>
          <t>THE SURVEY, CLEANED</t>
        </is>
      </c>
    </row>
    <row r="5">
      <c r="A5" s="3" t="inlineStr">
        <is>
          <t>Households answering / children covered</t>
        </is>
      </c>
      <c r="B5" s="10" t="n">
        <v>38</v>
      </c>
      <c r="C5" s="10" t="n">
        <v>85</v>
      </c>
    </row>
    <row r="6">
      <c r="A6" s="3" t="inlineStr">
        <is>
          <t>Leaving households / their children</t>
        </is>
      </c>
      <c r="B6" s="10" t="n">
        <v>31</v>
      </c>
      <c r="C6" s="10" t="n">
        <v>70</v>
      </c>
    </row>
    <row r="7">
      <c r="A7" s="3" t="inlineStr">
        <is>
          <t>Staying children / already left the district</t>
        </is>
      </c>
      <c r="B7" s="10" t="n">
        <v>13</v>
      </c>
      <c r="C7" s="10" t="n">
        <v>2</v>
      </c>
    </row>
    <row r="8">
      <c r="A8" s="3" t="inlineStr">
        <is>
          <t>Kindergarten class years holding leavers</t>
        </is>
      </c>
      <c r="B8" s="10" t="n">
        <v>12</v>
      </c>
    </row>
    <row r="9">
      <c r="A9" s="3" t="inlineStr">
        <is>
          <t>Leavers per kindergarten class</t>
        </is>
      </c>
      <c r="B9" s="11">
        <f>C6/B8</f>
        <v/>
      </c>
      <c r="F9" s="2" t="inlineStr">
        <is>
          <t>5.83 out of every class of 19 to 24 (recent SAAR grade range)</t>
        </is>
      </c>
    </row>
    <row r="11">
      <c r="A11" s="4" t="inlineStr">
        <is>
          <t>EFFECTIVE YEARS PER LOST CHILD (district grade-to-grade survival, SAAR school files)</t>
        </is>
      </c>
    </row>
    <row r="12">
      <c r="A12" s="3" t="inlineStr">
        <is>
          <t>Survival vs own 5th-grade class: 6th / 7th / 8th</t>
        </is>
      </c>
      <c r="B12" s="10" t="n">
        <v>0.972</v>
      </c>
      <c r="C12" s="10" t="n">
        <v>0.947</v>
      </c>
      <c r="D12" s="10" t="n">
        <v>0.974</v>
      </c>
    </row>
    <row r="13">
      <c r="A13" s="3" t="inlineStr">
        <is>
          <t>9th / 10th / 11th</t>
        </is>
      </c>
      <c r="B13" s="10" t="n">
        <v>0.98</v>
      </c>
      <c r="C13" s="10" t="n">
        <v>0.96</v>
      </c>
      <c r="D13" s="10" t="n">
        <v>0.96</v>
      </c>
    </row>
    <row r="14">
      <c r="A14" s="3" t="inlineStr">
        <is>
          <t>12th (early graduates, dropouts, moves)</t>
        </is>
      </c>
      <c r="B14" s="10" t="n">
        <v>0.826</v>
      </c>
    </row>
    <row r="15">
      <c r="A15" s="3" t="inlineStr">
        <is>
          <t>Effective enrollment-years per lost child (6 elementary + weighted secondary)</t>
        </is>
      </c>
      <c r="B15" s="22">
        <f>6+SUM(B12:D12)+SUM(B13:D13)+B14</f>
        <v/>
      </c>
      <c r="F15" s="21" t="inlineStr">
        <is>
          <t>12.62 instead of a flat 13: the model does not count years a child would not have been enrolled anyway</t>
        </is>
      </c>
    </row>
    <row r="17">
      <c r="A17" s="4" t="inlineStr">
        <is>
          <t>THE LADDER: STUDENTS MISSING FROM THE ROLLS EACH YEAR, AND THE SEEK LOST WITH THEM</t>
        </is>
      </c>
    </row>
    <row r="18">
      <c r="A18" s="25" t="inlineStr">
        <is>
          <t>Estimate</t>
        </is>
      </c>
      <c r="B18" s="25" t="inlineStr">
        <is>
          <t>Leave share</t>
        </is>
      </c>
      <c r="C18" s="25" t="inlineStr">
        <is>
          <t>Kids/yr (class of 19)</t>
        </is>
      </c>
      <c r="D18" s="25" t="inlineStr">
        <is>
          <t>Kids/yr (class of 24)</t>
        </is>
      </c>
      <c r="E18" s="25" t="inlineStr">
        <is>
          <t>$/yr range</t>
        </is>
      </c>
      <c r="F18" s="25" t="inlineStr">
        <is>
          <t>Basis</t>
        </is>
      </c>
    </row>
    <row r="19">
      <c r="A19" s="3" t="inlineStr">
        <is>
          <t>Floor</t>
        </is>
      </c>
      <c r="B19" s="2" t="inlineStr">
        <is>
          <t>signed only</t>
        </is>
      </c>
      <c r="C19" s="11">
        <f>ROUND($B$9*$B$15,0)</f>
        <v/>
      </c>
      <c r="D19" s="11">
        <f>C19</f>
        <v/>
      </c>
      <c r="E19" s="9">
        <f>$B$9*$B$15*(Assumptions!B6+500)</f>
        <v/>
      </c>
      <c r="F19" s="21" t="inlineStr">
        <is>
          <t>The 31 signed households alone: no statistics. $378,090 a year.</t>
        </is>
      </c>
    </row>
    <row r="20">
      <c r="A20" s="3" t="inlineStr">
        <is>
          <t>Band low (25th pct)</t>
        </is>
      </c>
      <c r="B20" s="10" t="n">
        <v>0.50575</v>
      </c>
      <c r="C20" s="11">
        <f>ROUND(B20*19*$B$15,0)</f>
        <v/>
      </c>
      <c r="D20" s="11">
        <f>ROUND(B20*24*$B$15,0)</f>
        <v/>
      </c>
      <c r="E20" s="9">
        <f>B20*19*$B$15*(Assumptions!B6+500)</f>
        <v/>
      </c>
      <c r="F20" s="9">
        <f>B20*24*$B$15*(Assumptions!B6+500)</f>
        <v/>
      </c>
    </row>
    <row r="21">
      <c r="A21" s="3" t="inlineStr">
        <is>
          <t>Median</t>
        </is>
      </c>
      <c r="B21" s="10" t="n">
        <v>0.61425</v>
      </c>
      <c r="C21" s="11">
        <f>ROUND(B21*19*$B$15,0)</f>
        <v/>
      </c>
      <c r="D21" s="11">
        <f>ROUND(B21*24*$B$15,0)</f>
        <v/>
      </c>
      <c r="E21" s="9">
        <f>B21*19*$B$15*(Assumptions!B6+500)</f>
        <v/>
      </c>
      <c r="F21" s="9">
        <f>B21*24*$B$15*(Assumptions!B6+500)</f>
        <v/>
      </c>
    </row>
    <row r="22">
      <c r="A22" s="3" t="inlineStr">
        <is>
          <t>Band high (75th pct)</t>
        </is>
      </c>
      <c r="B22" s="10" t="n">
        <v>0.71575</v>
      </c>
      <c r="C22" s="11">
        <f>ROUND(B22*19*$B$15,0)</f>
        <v/>
      </c>
      <c r="D22" s="11">
        <f>ROUND(B22*24*$B$15,0)</f>
        <v/>
      </c>
      <c r="E22" s="9">
        <f>B22*19*$B$15*(Assumptions!B6+500)</f>
        <v/>
      </c>
      <c r="F22" s="9">
        <f>B22*24*$B$15*(Assumptions!B6+500)</f>
        <v/>
      </c>
    </row>
    <row r="23">
      <c r="A23" s="3" t="inlineStr">
        <is>
          <t>95th percentile bound</t>
        </is>
      </c>
      <c r="B23" s="10" t="n">
        <v>0.83375</v>
      </c>
      <c r="C23" s="11">
        <f>ROUND(B23*19*$B$15,0)</f>
        <v/>
      </c>
      <c r="D23" s="11">
        <f>ROUND(B23*24*$B$15,0)</f>
        <v/>
      </c>
      <c r="E23" s="9">
        <f>B23*19*$B$15*(Assumptions!B6+500)</f>
        <v/>
      </c>
      <c r="F23" s="9">
        <f>B23*24*$B$15*(Assumptions!B6+500)</f>
        <v/>
      </c>
    </row>
    <row r="25">
      <c r="A25" s="21" t="inlineStr">
        <is>
          <t>Leave shares are the posterior of a response-propensity model: among enrolled surveyed children the raw split is 20 leavers to 4 stayers; leaving families are assumed 1x to 8x likelier to answer (log-normal prior centered on 3x), and the shares above are the resulting quartiles. Corroboration outside the survey: SAAR 2025-26 kindergarten of 12 against a 21-31 norm; end-of-year 141 / 128 / 115 across 2023-24 to 2025-26. Losses build from six grade cohorts in year one to all thirteen by year eight (141 of 169 cohort-years across a 13-year window).</t>
        </is>
      </c>
    </row>
    <row r="27">
      <c r="A27" s="4" t="inlineStr">
        <is>
          <t>COST RESPONSE: WHAT STOPS BEING SPENT AS STUDENTS LEAVE</t>
        </is>
      </c>
    </row>
    <row r="28">
      <c r="A28" s="3" t="inlineStr">
        <is>
          <t>Supplies and materials per departed student (scales with students; the growth model charges recruits the same figure)</t>
        </is>
      </c>
      <c r="B28" s="26">
        <f>Assumptions!B62</f>
        <v/>
      </c>
    </row>
    <row r="29">
      <c r="A29" s="21" t="inlineStr">
        <is>
          <t>Teacher savings are priced ONLY on the Closure_Model teachers-cut lever (the district's own 0 to 3 positions), never here, so staffing savings cannot be counted twice. Even with the supplies credit and the teacher lever at its friendliest, 94 percent of priced closure scenarios lose money.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25" t="inlineStr"/>
      <c r="B4" s="25" t="inlineStr">
        <is>
          <t>FY2027</t>
        </is>
      </c>
      <c r="C4" s="25" t="inlineStr">
        <is>
          <t>FY2028</t>
        </is>
      </c>
      <c r="D4" s="25" t="inlineStr">
        <is>
          <t>FY2029</t>
        </is>
      </c>
    </row>
    <row r="5">
      <c r="A5" s="3" t="inlineStr">
        <is>
          <t>Transfer students (scenario)</t>
        </is>
      </c>
      <c r="B5" s="29">
        <f>Assumptions!B59</f>
        <v/>
      </c>
      <c r="C5" s="29">
        <f>Assumptions!B60</f>
        <v/>
      </c>
      <c r="D5" s="29">
        <f>Assumptions!B61</f>
        <v/>
      </c>
    </row>
    <row r="6">
      <c r="A6" s="3" t="inlineStr">
        <is>
          <t>Enrolled (capped at open seats)</t>
        </is>
      </c>
      <c r="B6" s="11">
        <f>MIN(B5,Assumptions!$B$13)</f>
        <v/>
      </c>
      <c r="C6" s="11">
        <f>MIN(C5,Assumptions!$B$13)</f>
        <v/>
      </c>
      <c r="D6" s="11">
        <f>MIN(D5,Assumptions!$B$13)</f>
        <v/>
      </c>
    </row>
    <row r="7">
      <c r="A7" s="3" t="inlineStr">
        <is>
          <t>SEEK base per pupil</t>
        </is>
      </c>
      <c r="B7" s="26">
        <f>Assumptions!B6</f>
        <v/>
      </c>
      <c r="C7" s="26">
        <f>Assumptions!B7</f>
        <v/>
      </c>
      <c r="D7" s="26">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0" t="inlineStr">
        <is>
          <t>Net new recurring revenue</t>
        </is>
      </c>
      <c r="B11" s="28">
        <f>B8-B9-B10</f>
        <v/>
      </c>
      <c r="C11" s="28">
        <f>C8-C9-C10</f>
        <v/>
      </c>
      <c r="D11" s="28">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at $28,500, or 1 per 50 at $37,000 (staff-per and staff-cost enumerated as independent levers); busing $0/$500/$1,000 per recruit; marginal cost $400/$700/$1,000; SEEK add-ons $0/$500/$1,000. Weighted median +$142,080; middle half +$94,720 to +$183,354; floor +$4,131; ceiling +$387,804;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9">
        <f>Assumptions!B11</f>
        <v/>
      </c>
    </row>
    <row r="6">
      <c r="A6" s="3" t="inlineStr">
        <is>
          <t>NMES rated capacity</t>
        </is>
      </c>
      <c r="B6" s="29">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7">
        <f>B5/B20</f>
        <v/>
      </c>
    </row>
    <row r="22">
      <c r="A22" s="3" t="inlineStr">
        <is>
          <t>Average class size at capacity</t>
        </is>
      </c>
      <c r="B22" s="27">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26">
        <f>B13*Assumptions!B6</f>
        <v/>
      </c>
    </row>
    <row r="27">
      <c r="A27" s="3" t="inlineStr">
        <is>
          <t>Variable cost of all added students</t>
        </is>
      </c>
      <c r="B27" s="26">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0" t="inlineStr">
        <is>
          <t>Net recurring benefit, low (avoided and added sections both priced at the GF-borne $60K central; v3.8 subtracts the NMES additions)</t>
        </is>
      </c>
      <c r="B30" s="28">
        <f>B26-B27+(B28-B24)*Assumptions!B69</f>
        <v/>
      </c>
    </row>
    <row r="31">
      <c r="A31" s="20" t="inlineStr">
        <is>
          <t>Net recurring benefit, high (two avoided sections, same NMES debit)</t>
        </is>
      </c>
      <c r="B31" s="19">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26">
        <f>Assumptions!B14*Assumptions!B11</f>
        <v/>
      </c>
    </row>
    <row r="35">
      <c r="A35" s="3" t="inlineStr">
        <is>
          <t>Per student today</t>
        </is>
      </c>
      <c r="B35" s="26">
        <f>Assumptions!B14</f>
        <v/>
      </c>
    </row>
    <row r="36">
      <c r="A36" s="3" t="inlineStr">
        <is>
          <t>Per student at capacity (site cost plus variable cost, over 174)</t>
        </is>
      </c>
      <c r="B36" s="9">
        <f>(B34+(B12+B13)*Assumptions!B62)/B14</f>
        <v/>
      </c>
    </row>
    <row r="37">
      <c r="A37" s="3" t="inlineStr">
        <is>
          <t>Change</t>
        </is>
      </c>
      <c r="B37" s="18">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26">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0" t="inlineStr">
        <is>
          <t>NMES at 174 vs cheapest receiving school</t>
        </is>
      </c>
      <c r="B52" s="28">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26">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25" t="inlineStr">
        <is>
          <t>At 174</t>
        </is>
      </c>
      <c r="C64" s="25"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25" t="inlineStr">
        <is>
          <t>Year</t>
        </is>
      </c>
      <c r="B74" s="25" t="inlineStr">
        <is>
          <t>NMES members</t>
        </is>
      </c>
      <c r="C74" s="25" t="inlineStr">
        <is>
          <t>NMES $/pupil</t>
        </is>
      </c>
      <c r="D74" s="25" t="inlineStr">
        <is>
          <t>BCES $/pupil</t>
        </is>
      </c>
      <c r="E74" s="25" t="inlineStr">
        <is>
          <t>CRES $/pupil</t>
        </is>
      </c>
      <c r="F74" s="25" t="inlineStr">
        <is>
          <t>NMES at 174</t>
        </is>
      </c>
      <c r="G74" s="25"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runs minus $1,247,265 to plus $323,614 with a weighted median of minus $474,042,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25" t="inlineStr">
        <is>
          <t>Scenario (NMES/BCES/CRES caps)</t>
        </is>
      </c>
      <c r="B102" s="25" t="inlineStr">
        <is>
          <t>NMES</t>
        </is>
      </c>
      <c r="C102" s="25" t="inlineStr">
        <is>
          <t>BCES</t>
        </is>
      </c>
      <c r="D102" s="25" t="inlineStr">
        <is>
          <t>CRES</t>
        </is>
      </c>
      <c r="E102" s="25"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matching the state 2024-25 SAAR end-of-year membership file (the draft plan labels the column 2023-24; the label is corrected in v5.0), Facility_Plans rows 30-31) that contradict the fall counts in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2">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26">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19">
        <f>46*Assumptions!B6</f>
        <v/>
      </c>
    </row>
    <row r="134">
      <c r="A134" s="3" t="inlineStr">
        <is>
          <t>Capture rate that requires: share of registered homeschoolers / share of the full ACS pool</t>
        </is>
      </c>
      <c r="B134" s="18">
        <f>46/B119</f>
        <v/>
      </c>
      <c r="C134" s="18">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2">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19">
        <f>450*Assumptions!B6</f>
        <v/>
      </c>
      <c r="C139" s="19">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9">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30">
        <f>B5*B9</f>
        <v/>
      </c>
    </row>
    <row r="11">
      <c r="A11" s="3" t="inlineStr">
        <is>
          <t>Paris-area zones (sq mi)</t>
        </is>
      </c>
      <c r="B11" s="30">
        <f>B5-B10</f>
        <v/>
      </c>
    </row>
    <row r="12">
      <c r="A12" s="3" t="inlineStr">
        <is>
          <t>NMES elementary students</t>
        </is>
      </c>
      <c r="B12" s="29">
        <f>Assumptions!B11</f>
        <v/>
      </c>
    </row>
    <row r="13">
      <c r="A13" s="3" t="inlineStr">
        <is>
          <t>Paris-area elementary students</t>
        </is>
      </c>
      <c r="B13" s="29">
        <f>Redistricting!B8+Redistricting!B9</f>
        <v/>
      </c>
    </row>
    <row r="14">
      <c r="A14" s="3" t="inlineStr">
        <is>
          <t>Students per square mile, NMES zone</t>
        </is>
      </c>
      <c r="B14" s="27">
        <f>B12/B10</f>
        <v/>
      </c>
    </row>
    <row r="15">
      <c r="A15" s="3" t="inlineStr">
        <is>
          <t>Students per square mile, Paris-area zones</t>
        </is>
      </c>
      <c r="B15" s="27">
        <f>B13/B11</f>
        <v/>
      </c>
    </row>
    <row r="16">
      <c r="A16" s="3" t="inlineStr">
        <is>
          <t>Students per square mile, district elementary overall</t>
        </is>
      </c>
      <c r="B16" s="27">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31" t="n">
        <v>2.5</v>
      </c>
      <c r="C27" s="2" t="inlineStr">
        <is>
          <t>Fuel, maintenance, driver time; replace with district cost data</t>
        </is>
      </c>
    </row>
    <row r="28">
      <c r="A28" s="3" t="inlineStr">
        <is>
          <t>Marginal cost per bus-mile, high</t>
        </is>
      </c>
      <c r="B28" s="31"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0" t="inlineStr">
        <is>
          <t>Bottom-up added busing cost, low</t>
        </is>
      </c>
      <c r="B33" s="28">
        <f>B29</f>
        <v/>
      </c>
    </row>
    <row r="34">
      <c r="A34" s="20" t="inlineStr">
        <is>
          <t>Bottom-up added busing cost, high</t>
        </is>
      </c>
      <c r="B34" s="19">
        <f>B30+B31*B32</f>
        <v/>
      </c>
    </row>
    <row r="35">
      <c r="A35" s="3" t="inlineStr">
        <is>
          <t>Report's planning range (Closure_Model offset basis)</t>
        </is>
      </c>
      <c r="B35" s="2" t="inlineStr">
        <is>
          <t>Between $75,000 and $200,000</t>
        </is>
      </c>
    </row>
    <row r="36">
      <c r="A36" s="21" t="inlineStr">
        <is>
          <t>The bottom-up estimate lands inside the planning range. The $137,500 midpoint survives only in the legacy single-point rows; the published grid's central busing figure is the bottom-up $63,000 (Closure_Model row 42).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9">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26">
        <f>Assumptions!B42</f>
        <v/>
      </c>
    </row>
    <row r="49">
      <c r="A49" s="3" t="inlineStr">
        <is>
          <t>Average Daily Attendance, FY2025</t>
        </is>
      </c>
      <c r="B49" s="32"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26">
        <f>Assumptions!B42*Assumptions!B43</f>
        <v/>
      </c>
    </row>
    <row r="52">
      <c r="A52" s="3" t="inlineStr"/>
      <c r="B52" s="26">
        <f>Assumptions!B42*Assumptions!B44</f>
        <v/>
      </c>
    </row>
    <row r="54">
      <c r="A54" s="4" t="inlineStr">
        <is>
          <t>ACTUAL DISTANCES, COMPUTED FROM THE OFFICIAL ZONE GEOMETRY (build/zone_distances.py)</t>
        </is>
      </c>
    </row>
    <row r="55">
      <c r="A55" s="3" t="inlineStr">
        <is>
          <t>Straight-line, NMES to the Paris schools (miles)</t>
        </is>
      </c>
      <c r="B55" s="32" t="n">
        <v>8.871</v>
      </c>
      <c r="C55" s="2" t="inlineStr">
        <is>
          <t>Great-circle between the school points; unrounded so derived cells match build/zone_distances.json</t>
        </is>
      </c>
    </row>
    <row r="56">
      <c r="A56" s="3" t="inlineStr">
        <is>
          <t>Measured road distance, US 460 (miles)</t>
        </is>
      </c>
      <c r="B56" s="32" t="n">
        <v>10</v>
      </c>
      <c r="C56" s="2" t="inlineStr">
        <is>
          <t>The one pair that can be measured exactly</t>
        </is>
      </c>
    </row>
    <row r="57">
      <c r="A57" s="3" t="inlineStr">
        <is>
          <t>Implied road factor on the measured pair</t>
        </is>
      </c>
      <c r="B57" s="33">
        <f>B56/B55</f>
        <v/>
      </c>
    </row>
    <row r="58">
      <c r="A58" s="3" t="inlineStr">
        <is>
          <t>Road factor applied elsewhere (the measured US 460 pair implies 1.13)</t>
        </is>
      </c>
      <c r="B58" s="31" t="n">
        <v>1.2</v>
      </c>
    </row>
    <row r="59">
      <c r="A59" s="3" t="inlineStr">
        <is>
          <t>Area-average added distance under closure, one way, straight-line</t>
        </is>
      </c>
      <c r="B59" s="32" t="n">
        <v>3.271</v>
      </c>
      <c r="C59" s="2" t="inlineStr">
        <is>
          <t>Grid average over the official NMES zone (812 sample points); unrounded input, displays to one decimal</t>
        </is>
      </c>
    </row>
    <row r="60">
      <c r="A60" s="3" t="inlineStr">
        <is>
          <t>Area-average added distance, road</t>
        </is>
      </c>
      <c r="B60" s="27">
        <f>B59*B58</f>
        <v/>
      </c>
    </row>
    <row r="61">
      <c r="A61" s="3" t="inlineStr">
        <is>
          <t>Farthest corner of the zone, straight-line to Paris / to NMES</t>
        </is>
      </c>
      <c r="B61" s="32" t="n">
        <v>15.1</v>
      </c>
      <c r="C61" s="2" t="inlineStr">
        <is>
          <t>8.3 miles to NMES; near the Nicholas County line</t>
        </is>
      </c>
    </row>
    <row r="62">
      <c r="A62" s="3" t="inlineStr">
        <is>
          <t>Farthest corner by road: to Paris / to NMES (miles)</t>
        </is>
      </c>
      <c r="B62" s="30">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25" t="inlineStr">
        <is>
          <t>Measure</t>
        </is>
      </c>
      <c r="B3" s="25" t="inlineStr">
        <is>
          <t>Low ($/yr)</t>
        </is>
      </c>
      <c r="C3" s="25" t="inlineStr">
        <is>
          <t>High ($/yr)</t>
        </is>
      </c>
      <c r="D3" s="25" t="inlineStr">
        <is>
          <t>Basis</t>
        </is>
      </c>
      <c r="E3" s="25" t="inlineStr">
        <is>
          <t>Type</t>
        </is>
      </c>
      <c r="F3" s="25" t="inlineStr">
        <is>
          <t>Confidence / what firms it up</t>
        </is>
      </c>
    </row>
    <row r="4">
      <c r="A4" s="3" t="inlineStr">
        <is>
          <t>KRS 160.470 four percent revenue mechanics (context; the published lead lever is the 2018 restore, Tax_History rows 70-91)</t>
        </is>
      </c>
      <c r="B4" s="26">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26">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26">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26">
        <f>Assumptions!B42*Assumptions!B43</f>
        <v/>
      </c>
      <c r="C9" s="26">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26">
        <f>Redistricting!B30</f>
        <v/>
      </c>
      <c r="C11" s="26">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26">
        <f>25*(Assumptions!B6-Assumptions!B62)</f>
        <v/>
      </c>
      <c r="C12" s="26">
        <f>50*(Assumptions!B6-Assumptions!B62)</f>
        <v/>
      </c>
      <c r="D12" s="2" t="inlineStr">
        <is>
          <t>25-50 additional students at $4,236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0" t="inlineStr">
        <is>
          <t>Total identified (ranges overlap; not additive to the penny)</t>
        </is>
      </c>
      <c r="B13" s="28">
        <f>SUM(B4:B12)</f>
        <v/>
      </c>
      <c r="C13" s="28">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26">
        <f>GF_Summary!D16</f>
        <v/>
      </c>
    </row>
    <row r="21">
      <c r="A21" s="3" t="inlineStr">
        <is>
          <t>Closure net saving (LEGACY single-point base case, superseded by the grid median of -$474,042 at Closure_Model row 50)</t>
        </is>
      </c>
      <c r="B21" s="26">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19">
        <f>SUM(B7:B10)</f>
        <v/>
      </c>
      <c r="C26" s="19">
        <f>SUM(C7:C10)</f>
        <v/>
      </c>
    </row>
    <row r="27">
      <c r="A27" s="3" t="inlineStr">
        <is>
          <t>Move 2: grow enrollment instead of shrinking it (attendance recovery, fill NMES, district-wide recruitment)</t>
        </is>
      </c>
      <c r="B27" s="19">
        <f>B6+B11+B12</f>
        <v/>
      </c>
      <c r="C27" s="19">
        <f>C6+C11+C12</f>
        <v/>
      </c>
    </row>
    <row r="28">
      <c r="A28" s="3" t="inlineStr">
        <is>
          <t>Move 3: the honest revenue conversation, year one (this cell keeps the 4 percent + delinquency mechanics for continuity; the published lead lever is the 2018 restore, about $1.5M a year, Tax_History rows 82-89)</t>
        </is>
      </c>
      <c r="B28" s="19">
        <f>B4+B5</f>
        <v/>
      </c>
      <c r="C28" s="19">
        <f>C4+C5</f>
        <v/>
      </c>
    </row>
    <row r="29">
      <c r="A29" s="3" t="inlineStr">
        <is>
          <t>Growth plan total (equals the raw sum above; the published band is the conservative cut of the same rows)</t>
        </is>
      </c>
      <c r="B29" s="19">
        <f>B26+B27+B28</f>
        <v/>
      </c>
      <c r="C29" s="19">
        <f>C26+C27+C28</f>
        <v/>
      </c>
    </row>
    <row r="30">
      <c r="A30" s="4" t="inlineStr">
        <is>
          <t>THE TRANSFORMATIVE CHECK (v4.5: enrollment lever re-based on recovered leakage students at $4,236 each; gap re-based on the trending fiscal 2026 ledger; capacity anchored on the district advisor's June 2026 presentation)</t>
        </is>
      </c>
    </row>
    <row r="31">
      <c r="A31" s="3" t="inlineStr">
        <is>
          <t>Plan levers at the website defaults: 275 of 550 leakage students recovered (275 x $4,236 = $1,164,900)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$4,236 net-of-supplies cell in B49 legs. Every 100 recovered add $423,600 a year on top of this check.</t>
        </is>
      </c>
    </row>
    <row r="32">
      <c r="A32" s="3" t="inlineStr">
        <is>
          <t>Full 2018 rate restore (live from Tax_History D79, certified real base; v4.6 correction from the blended $1,699,479)</t>
        </is>
      </c>
      <c r="B32" s="9">
        <f>Tax_History!D79</f>
        <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19">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19">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19">
        <f>B37+B38</f>
        <v/>
      </c>
    </row>
    <row r="40">
      <c r="A40" s="21" t="inlineStr">
        <is>
          <t>Reading: at the website defaults (half the pool recovered, costs at the low end, full restore) the plan runs about $1.66M ahead of the trending fiscal 2026 gap, funds the 5 percent certified raise, and leaves about $1.16M for debt: about $15.0M of new GF-leveraged bonds plus the advisor's $32M, about $47 million of building capacity with every school open. The zero-recovery floor still clears the gap with about $500K to spare, within $7,000 of the full raise; two recovered students close the difference. At the slider top (all 550 recovered, levers high) the plan runs about $3.4M ahead: the raise plus about $37M of bonds, about $69M of capacity. Every 100 recovered leakage students move the surplus by $423,600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25" t="inlineStr">
        <is>
          <t>Series</t>
        </is>
      </c>
      <c r="B4" s="25" t="inlineStr">
        <is>
          <t>Original</t>
        </is>
      </c>
      <c r="C4" s="25" t="inlineStr">
        <is>
          <t>Rate</t>
        </is>
      </c>
      <c r="D4" s="25" t="inlineStr">
        <is>
          <t>Maturity</t>
        </is>
      </c>
      <c r="E4" s="25" t="inlineStr">
        <is>
          <t>Outstanding 6/30/25</t>
        </is>
      </c>
      <c r="F4" s="25"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0" t="inlineStr">
        <is>
          <t>Total</t>
        </is>
      </c>
      <c r="B12" s="28">
        <f>SUM(B5:B11)</f>
        <v/>
      </c>
      <c r="E12" s="28">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32"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26">
        <f>Tax_History!B33</f>
        <v/>
      </c>
    </row>
    <row r="26">
      <c r="A26" s="3" t="inlineStr">
        <is>
          <t>District-paid debt service, FY2026</t>
        </is>
      </c>
      <c r="B26" s="8" t="n">
        <v>1578700</v>
      </c>
    </row>
    <row r="27">
      <c r="A27" s="3" t="inlineStr">
        <is>
          <t>Annual restricted margin available for new debt (illustrative)</t>
        </is>
      </c>
      <c r="B27" s="34">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5" t="n">
        <v>20</v>
      </c>
    </row>
    <row r="42">
      <c r="A42" s="3" t="inlineStr">
        <is>
          <t>Annual debt service on the proposed bond</t>
        </is>
      </c>
      <c r="B42" s="34">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which is itself negative (-$463,042); the weighted median loses $474,042</t>
        </is>
      </c>
    </row>
    <row r="47">
      <c r="A47" s="3" t="inlineStr">
        <is>
          <t>Closure model median (v5.0 weighted grid)</t>
        </is>
      </c>
      <c r="B47" s="8" t="n">
        <v>-474042</v>
      </c>
      <c r="C47" s="9">
        <f>B47*(1-(1+B$40)^-B$41)/B$40</f>
        <v/>
      </c>
      <c r="F47" s="21" t="inlineStr">
        <is>
          <t>Closure_Model tab, 4,860-combination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4">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25" t="inlineStr">
        <is>
          <t>Conservative</t>
        </is>
      </c>
      <c r="C95" s="25" t="inlineStr">
        <is>
          <t>FY2026 trend</t>
        </is>
      </c>
    </row>
    <row r="96">
      <c r="A96" s="3" t="inlineStr">
        <is>
          <t>Operating gap to close first</t>
        </is>
      </c>
      <c r="B96" s="8" t="n">
        <v>1787918</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26">
        <f>Tax_History!B32*(1.04^3-1)</f>
        <v/>
      </c>
      <c r="C97" s="26">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0" t="inlineStr">
        <is>
          <t>Total capacity available without closing a school</t>
        </is>
      </c>
      <c r="B105" s="28">
        <f>B101+B103+B104</f>
        <v/>
      </c>
      <c r="C105" s="28">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25" t="inlineStr">
        <is>
          <t>Projected ending General Fund balance</t>
        </is>
      </c>
      <c r="B4" s="25" t="inlineStr">
        <is>
          <t>FY2026</t>
        </is>
      </c>
      <c r="C4" s="25" t="inlineStr">
        <is>
          <t>FY2027</t>
        </is>
      </c>
      <c r="D4" s="25" t="inlineStr">
        <is>
          <t>FY2028</t>
        </is>
      </c>
      <c r="E4" s="25"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26">
        <f>GF_Summary!$D$14</f>
        <v/>
      </c>
      <c r="C8" s="26">
        <f>GF_Summary!$D$14</f>
        <v/>
      </c>
      <c r="D8" s="26">
        <f>GF_Summary!$D$14</f>
        <v/>
      </c>
      <c r="E8" s="26">
        <f>GF_Summary!$D$14</f>
        <v/>
      </c>
    </row>
    <row r="9">
      <c r="A9" s="21" t="inlineStr">
        <is>
          <t>Closure range check (v5.0): at the +$323,614 best case FY2029 holds a modest cushion; at the -$474,042 weighted median the reserves go MUCH faster than status quo; 94 percent of weighted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25" t="inlineStr">
        <is>
          <t>Plan</t>
        </is>
      </c>
      <c r="B4" s="25" t="inlineStr">
        <is>
          <t>Recurring GF impact ($/yr, by yr 3)</t>
        </is>
      </c>
      <c r="C4" s="25" t="inlineStr">
        <is>
          <t>Projected FY2029 balance</t>
        </is>
      </c>
      <c r="D4" s="25" t="inlineStr">
        <is>
          <t>One-time costs</t>
        </is>
      </c>
      <c r="E4" s="25"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8" t="n">
        <v>-474042</v>
      </c>
      <c r="C6" s="9">
        <f>Runway!E7</f>
        <v/>
      </c>
      <c r="D6" s="2" t="inlineStr">
        <is>
          <t>Unpublished</t>
        </is>
      </c>
      <c r="E6" s="2" t="inlineStr">
        <is>
          <t>Closure vote; the weighted median LOSES $474,042 a year (B6 is the grid median; the legacy single-point Closure_Model!B20 is superseded); the grid central case itself loses $463,042, and even the +$323,614 best-case tail covers only 12.2% of the $2.65M gap; longer rides; measured enrollment-loss risk</t>
        </is>
      </c>
    </row>
    <row r="7">
      <c r="A7" s="3" t="inlineStr">
        <is>
          <t>3. Districtwide recovery plan (menu plus levy; includes rebalancing and growing NMES)</t>
        </is>
      </c>
      <c r="B7" s="26">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10 and Figures 15 and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32" t="n">
        <v>61.3</v>
      </c>
      <c r="G5" s="21" t="inlineStr">
        <is>
          <t>2019 documented as the board taking the 4% option (Bourbon County Citizen, 9/4/2019); other years' rate type undetermined pending KDE levy files</t>
        </is>
      </c>
    </row>
    <row r="6">
      <c r="A6" s="3" t="inlineStr">
        <is>
          <t>2019</t>
        </is>
      </c>
      <c r="B6" s="32" t="n">
        <v>60.6</v>
      </c>
    </row>
    <row r="7">
      <c r="A7" s="3" t="inlineStr">
        <is>
          <t>2020</t>
        </is>
      </c>
      <c r="B7" s="32" t="n">
        <v>55.9</v>
      </c>
    </row>
    <row r="8">
      <c r="A8" s="3" t="inlineStr">
        <is>
          <t>2021</t>
        </is>
      </c>
      <c r="B8" s="32" t="n">
        <v>54.2</v>
      </c>
    </row>
    <row r="9">
      <c r="A9" s="3" t="inlineStr">
        <is>
          <t>2022</t>
        </is>
      </c>
      <c r="B9" s="32" t="n">
        <v>49.2</v>
      </c>
    </row>
    <row r="10">
      <c r="A10" s="3" t="inlineStr">
        <is>
          <t>2023</t>
        </is>
      </c>
      <c r="B10" s="32" t="n">
        <v>52.4</v>
      </c>
    </row>
    <row r="11">
      <c r="A11" s="3" t="inlineStr">
        <is>
          <t>2024</t>
        </is>
      </c>
      <c r="B11" s="32" t="n">
        <v>52.4</v>
      </c>
    </row>
    <row r="12">
      <c r="A12" s="3" t="inlineStr">
        <is>
          <t>2025</t>
        </is>
      </c>
      <c r="B12" s="32" t="n">
        <v>52.4</v>
      </c>
    </row>
    <row r="14">
      <c r="A14" s="3" t="inlineStr">
        <is>
          <t>Tangible/personal rate (recent)</t>
        </is>
      </c>
      <c r="B14" s="32" t="n">
        <v>64.5</v>
      </c>
    </row>
    <row r="15">
      <c r="A15" s="3" t="inlineStr">
        <is>
          <t>Motor vehicle rate</t>
        </is>
      </c>
      <c r="B15" s="32" t="n">
        <v>54.7</v>
      </c>
    </row>
    <row r="16">
      <c r="A16" s="3" t="inlineStr">
        <is>
          <t>Utility gross receipts</t>
        </is>
      </c>
      <c r="B16" s="13" t="n">
        <v>0.03</v>
      </c>
    </row>
    <row r="18">
      <c r="A18" s="4" t="inlineStr">
        <is>
          <t>AREA DISTRICTS, LEVIED REAL ESTATE RATE 2024-25</t>
        </is>
      </c>
    </row>
    <row r="19">
      <c r="A19" s="3" t="inlineStr">
        <is>
          <t>Fayette County</t>
        </is>
      </c>
      <c r="B19" s="32"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32" t="n">
        <v>71.5</v>
      </c>
    </row>
    <row r="21">
      <c r="A21" s="3" t="inlineStr">
        <is>
          <t>Clark County</t>
        </is>
      </c>
      <c r="B21" s="32" t="n">
        <v>65.5</v>
      </c>
    </row>
    <row r="22">
      <c r="A22" s="3" t="inlineStr">
        <is>
          <t>Bath County</t>
        </is>
      </c>
      <c r="B22" s="32" t="n">
        <v>63.4</v>
      </c>
    </row>
    <row r="23">
      <c r="A23" s="3" t="inlineStr">
        <is>
          <t>Scott County</t>
        </is>
      </c>
      <c r="B23" s="32" t="n">
        <v>62.9</v>
      </c>
    </row>
    <row r="24">
      <c r="A24" s="3" t="inlineStr">
        <is>
          <t>Harrison County</t>
        </is>
      </c>
      <c r="B24" s="32" t="n">
        <v>57.7</v>
      </c>
    </row>
    <row r="25">
      <c r="A25" s="3" t="inlineStr">
        <is>
          <t>Montgomery County</t>
        </is>
      </c>
      <c r="B25" s="32" t="n">
        <v>52.5</v>
      </c>
    </row>
    <row r="26">
      <c r="A26" s="3" t="inlineStr">
        <is>
          <t>Bourbon County</t>
        </is>
      </c>
      <c r="B26" s="32" t="n">
        <v>52.4</v>
      </c>
    </row>
    <row r="27">
      <c r="A27" s="3" t="inlineStr">
        <is>
          <t>Nicholas County</t>
        </is>
      </c>
      <c r="B27" s="32" t="n">
        <v>43.1</v>
      </c>
    </row>
    <row r="28">
      <c r="A28" s="3" t="inlineStr">
        <is>
          <t>Statewide school average (DOR Table II, 2025)</t>
        </is>
      </c>
      <c r="B28" s="32"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8">
        <f>B32/B38</f>
        <v/>
      </c>
    </row>
    <row r="41">
      <c r="A41" s="4" t="inlineStr">
        <is>
          <t>DELINQUENCY CHECK (collections vs certified yield)</t>
        </is>
      </c>
      <c r="B41" s="20" t="inlineStr">
        <is>
          <t>FY2024</t>
        </is>
      </c>
      <c r="C41" s="20"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8">
        <f>B44/B42</f>
        <v/>
      </c>
      <c r="C45" s="18">
        <f>C44/C42</f>
        <v/>
      </c>
    </row>
    <row r="47">
      <c r="A47" s="4" t="inlineStr">
        <is>
          <t>FOUR PERCENT OPTION, THREE-YEAR PATH (KRS 160.470)</t>
        </is>
      </c>
    </row>
    <row r="48">
      <c r="A48" s="3" t="inlineStr">
        <is>
          <t>Base: FY2025 General Fund real + personal collections</t>
        </is>
      </c>
      <c r="B48" s="26">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8">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25" t="inlineStr">
        <is>
          <t>District</t>
        </is>
      </c>
      <c r="B57" s="25" t="inlineStr">
        <is>
          <t>2012-13</t>
        </is>
      </c>
      <c r="C57" s="25" t="inlineStr">
        <is>
          <t>2013-14</t>
        </is>
      </c>
      <c r="D57" s="25" t="inlineStr">
        <is>
          <t>2014-15</t>
        </is>
      </c>
      <c r="E57" s="25" t="inlineStr">
        <is>
          <t>2015-16</t>
        </is>
      </c>
      <c r="F57" s="25" t="inlineStr">
        <is>
          <t>2016-17</t>
        </is>
      </c>
      <c r="G57" s="25" t="inlineStr">
        <is>
          <t>2017-18</t>
        </is>
      </c>
      <c r="H57" s="25" t="inlineStr">
        <is>
          <t>2018-19</t>
        </is>
      </c>
      <c r="I57" s="25" t="inlineStr">
        <is>
          <t>2019-20</t>
        </is>
      </c>
      <c r="J57" s="25" t="inlineStr">
        <is>
          <t>2020-21</t>
        </is>
      </c>
      <c r="K57" s="25" t="inlineStr">
        <is>
          <t>2021-22</t>
        </is>
      </c>
      <c r="L57" s="25" t="inlineStr">
        <is>
          <t>2022-23</t>
        </is>
      </c>
      <c r="M57" s="25" t="inlineStr">
        <is>
          <t>2023-24</t>
        </is>
      </c>
      <c r="N57" s="25" t="inlineStr">
        <is>
          <t>2024-25</t>
        </is>
      </c>
      <c r="O57" s="25" t="inlineStr">
        <is>
          <t>2025-26</t>
        </is>
      </c>
      <c r="P57" s="25" t="inlineStr">
        <is>
          <t>Change</t>
        </is>
      </c>
    </row>
    <row r="58">
      <c r="A58" s="3" t="inlineStr">
        <is>
          <t>Bath</t>
        </is>
      </c>
      <c r="B58" s="32" t="n">
        <v>36.8</v>
      </c>
      <c r="C58" s="32" t="n">
        <v>44</v>
      </c>
      <c r="D58" s="32" t="n">
        <v>44.2</v>
      </c>
      <c r="E58" s="32" t="n">
        <v>44.8</v>
      </c>
      <c r="F58" s="32" t="n">
        <v>44.8</v>
      </c>
      <c r="G58" s="32" t="n">
        <v>47.2</v>
      </c>
      <c r="H58" s="32" t="n">
        <v>52.6</v>
      </c>
      <c r="I58" s="32" t="n">
        <v>52.6</v>
      </c>
      <c r="J58" s="32" t="n">
        <v>52.6</v>
      </c>
      <c r="K58" s="32" t="n">
        <v>52.4</v>
      </c>
      <c r="L58" s="32" t="n">
        <v>54.1</v>
      </c>
      <c r="M58" s="32" t="n">
        <v>57.8</v>
      </c>
      <c r="N58" s="32" t="n">
        <v>60.7</v>
      </c>
      <c r="O58" s="32" t="n">
        <v>63.4</v>
      </c>
      <c r="P58" s="36">
        <f>(O58/B58-1)</f>
        <v/>
      </c>
    </row>
    <row r="59">
      <c r="A59" s="3" t="inlineStr">
        <is>
          <t>Scott</t>
        </is>
      </c>
      <c r="B59" s="32" t="n">
        <v>45.3</v>
      </c>
      <c r="C59" s="32" t="n">
        <v>47.2</v>
      </c>
      <c r="D59" s="32" t="n">
        <v>47.6</v>
      </c>
      <c r="E59" s="32" t="n">
        <v>49</v>
      </c>
      <c r="F59" s="32" t="n">
        <v>49.6</v>
      </c>
      <c r="G59" s="32" t="n">
        <v>56.4</v>
      </c>
      <c r="H59" s="32" t="n">
        <v>56.4</v>
      </c>
      <c r="I59" s="32" t="n">
        <v>57.1</v>
      </c>
      <c r="J59" s="32" t="n">
        <v>57.6</v>
      </c>
      <c r="K59" s="32" t="n">
        <v>58.1</v>
      </c>
      <c r="L59" s="32" t="n">
        <v>58.1</v>
      </c>
      <c r="M59" s="32" t="n">
        <v>62.8</v>
      </c>
      <c r="N59" s="32" t="n">
        <v>62.9</v>
      </c>
      <c r="O59" s="32" t="n">
        <v>62.9</v>
      </c>
      <c r="P59" s="36">
        <f>(O59/B59-1)</f>
        <v/>
      </c>
    </row>
    <row r="60">
      <c r="A60" s="3" t="inlineStr">
        <is>
          <t>Harrison</t>
        </is>
      </c>
      <c r="B60" s="32" t="n">
        <v>43</v>
      </c>
      <c r="C60" s="32" t="n">
        <v>45.2</v>
      </c>
      <c r="D60" s="32" t="n">
        <v>47.2</v>
      </c>
      <c r="E60" s="32" t="n">
        <v>47.3</v>
      </c>
      <c r="F60" s="32" t="n">
        <v>49</v>
      </c>
      <c r="G60" s="32" t="n">
        <v>50.5</v>
      </c>
      <c r="H60" s="32" t="n">
        <v>50.5</v>
      </c>
      <c r="I60" s="32" t="n">
        <v>51.7</v>
      </c>
      <c r="J60" s="32" t="n">
        <v>51.7</v>
      </c>
      <c r="K60" s="32" t="n">
        <v>57.7</v>
      </c>
      <c r="L60" s="32" t="n">
        <v>57.7</v>
      </c>
      <c r="M60" s="32" t="n">
        <v>57.7</v>
      </c>
      <c r="N60" s="32" t="n">
        <v>57.7</v>
      </c>
      <c r="O60" s="32" t="n">
        <v>57.7</v>
      </c>
      <c r="P60" s="36">
        <f>(O60/B60-1)</f>
        <v/>
      </c>
    </row>
    <row r="61">
      <c r="A61" s="3" t="inlineStr">
        <is>
          <t>Clark</t>
        </is>
      </c>
      <c r="B61" s="32" t="n">
        <v>53.6</v>
      </c>
      <c r="C61" s="32" t="n">
        <v>55.9</v>
      </c>
      <c r="D61" s="32" t="n">
        <v>57.4</v>
      </c>
      <c r="E61" s="32" t="n">
        <v>60</v>
      </c>
      <c r="F61" s="32" t="n">
        <v>62.2</v>
      </c>
      <c r="G61" s="32" t="n">
        <v>62.2</v>
      </c>
      <c r="H61" s="32" t="n">
        <v>62.2</v>
      </c>
      <c r="I61" s="32" t="n">
        <v>63.7</v>
      </c>
      <c r="J61" s="32" t="n">
        <v>63.7</v>
      </c>
      <c r="K61" s="32" t="n">
        <v>64.90000000000001</v>
      </c>
      <c r="L61" s="32" t="n">
        <v>65.90000000000001</v>
      </c>
      <c r="M61" s="32" t="n">
        <v>67.5</v>
      </c>
      <c r="N61" s="32" t="n">
        <v>66.8</v>
      </c>
      <c r="O61" s="32" t="n">
        <v>65.5</v>
      </c>
      <c r="P61" s="36">
        <f>(O61/B61-1)</f>
        <v/>
      </c>
    </row>
    <row r="62">
      <c r="A62" s="3" t="inlineStr">
        <is>
          <t>Fayette</t>
        </is>
      </c>
      <c r="B62" s="32" t="n">
        <v>67.40000000000001</v>
      </c>
      <c r="C62" s="32" t="n">
        <v>69.59999999999999</v>
      </c>
      <c r="D62" s="32" t="n">
        <v>71.90000000000001</v>
      </c>
      <c r="E62" s="32" t="n">
        <v>74</v>
      </c>
      <c r="F62" s="32" t="n">
        <v>75</v>
      </c>
      <c r="G62" s="32" t="n">
        <v>75</v>
      </c>
      <c r="H62" s="32" t="n">
        <v>81</v>
      </c>
      <c r="I62" s="32" t="n">
        <v>81</v>
      </c>
      <c r="J62" s="32" t="n">
        <v>81</v>
      </c>
      <c r="K62" s="32" t="n">
        <v>80.8</v>
      </c>
      <c r="L62" s="32" t="n">
        <v>83.3</v>
      </c>
      <c r="M62" s="32" t="n">
        <v>81</v>
      </c>
      <c r="N62" s="32" t="n">
        <v>80.90000000000001</v>
      </c>
      <c r="O62" s="32" t="n">
        <v>79.8</v>
      </c>
      <c r="P62" s="36">
        <f>(O62/B62-1)</f>
        <v/>
      </c>
    </row>
    <row r="63">
      <c r="A63" s="3" t="inlineStr">
        <is>
          <t>Paris Ind</t>
        </is>
      </c>
      <c r="B63" s="32" t="n">
        <v>61</v>
      </c>
      <c r="C63" s="32" t="n">
        <v>64.09999999999999</v>
      </c>
      <c r="D63" s="32" t="n">
        <v>66.5</v>
      </c>
      <c r="E63" s="32" t="n">
        <v>69</v>
      </c>
      <c r="F63" s="32" t="n">
        <v>71.59999999999999</v>
      </c>
      <c r="G63" s="32" t="n">
        <v>74.40000000000001</v>
      </c>
      <c r="H63" s="32" t="n">
        <v>78.3</v>
      </c>
      <c r="I63" s="32" t="n">
        <v>80.40000000000001</v>
      </c>
      <c r="J63" s="32" t="n">
        <v>68.7</v>
      </c>
      <c r="K63" s="32" t="n">
        <v>74.5</v>
      </c>
      <c r="L63" s="32" t="n">
        <v>71.5</v>
      </c>
      <c r="M63" s="32" t="n">
        <v>71.5</v>
      </c>
      <c r="N63" s="32" t="n">
        <v>71.5</v>
      </c>
      <c r="O63" s="32" t="n">
        <v>71.5</v>
      </c>
      <c r="P63" s="36">
        <f>(O63/B63-1)</f>
        <v/>
      </c>
    </row>
    <row r="64">
      <c r="A64" s="3" t="inlineStr">
        <is>
          <t>Nicholas</t>
        </is>
      </c>
      <c r="B64" s="32" t="n">
        <v>38.4</v>
      </c>
      <c r="C64" s="32" t="n">
        <v>38.7</v>
      </c>
      <c r="D64" s="32" t="n">
        <v>38.5</v>
      </c>
      <c r="E64" s="32" t="n">
        <v>38.3</v>
      </c>
      <c r="F64" s="32" t="n">
        <v>38.5</v>
      </c>
      <c r="G64" s="32" t="n">
        <v>39.5</v>
      </c>
      <c r="H64" s="32" t="n">
        <v>39.6</v>
      </c>
      <c r="I64" s="32" t="n">
        <v>41</v>
      </c>
      <c r="J64" s="32" t="n">
        <v>40.1</v>
      </c>
      <c r="K64" s="32" t="n">
        <v>40.2</v>
      </c>
      <c r="L64" s="32" t="n">
        <v>41.4</v>
      </c>
      <c r="M64" s="32" t="n">
        <v>42.5</v>
      </c>
      <c r="N64" s="32" t="n">
        <v>43.6</v>
      </c>
      <c r="O64" s="32" t="n">
        <v>43.1</v>
      </c>
      <c r="P64" s="36">
        <f>(O64/B64-1)</f>
        <v/>
      </c>
    </row>
    <row r="65">
      <c r="A65" s="3" t="inlineStr">
        <is>
          <t>Montgomery</t>
        </is>
      </c>
      <c r="B65" s="32" t="n">
        <v>49.4</v>
      </c>
      <c r="C65" s="32" t="n">
        <v>49.4</v>
      </c>
      <c r="D65" s="32" t="n">
        <v>49</v>
      </c>
      <c r="E65" s="32" t="n">
        <v>48.9</v>
      </c>
      <c r="F65" s="32" t="n">
        <v>50.8</v>
      </c>
      <c r="G65" s="32" t="n">
        <v>51.3</v>
      </c>
      <c r="H65" s="32" t="n">
        <v>52.8</v>
      </c>
      <c r="I65" s="32" t="n">
        <v>52.3</v>
      </c>
      <c r="J65" s="32" t="n">
        <v>52.3</v>
      </c>
      <c r="K65" s="32" t="n">
        <v>52.3</v>
      </c>
      <c r="L65" s="32" t="n">
        <v>52.2</v>
      </c>
      <c r="M65" s="32" t="n">
        <v>52.4</v>
      </c>
      <c r="N65" s="32" t="n">
        <v>52.5</v>
      </c>
      <c r="O65" s="32" t="n">
        <v>52.5</v>
      </c>
      <c r="P65" s="36">
        <f>(O65/B65-1)</f>
        <v/>
      </c>
    </row>
    <row r="66">
      <c r="A66" s="3" t="inlineStr">
        <is>
          <t>Bourbon Co</t>
        </is>
      </c>
      <c r="B66" s="32" t="n">
        <v>55.4</v>
      </c>
      <c r="C66" s="32" t="n">
        <v>57.6</v>
      </c>
      <c r="D66" s="32" t="n">
        <v>57.3</v>
      </c>
      <c r="E66" s="32" t="n">
        <v>59.1</v>
      </c>
      <c r="F66" s="32" t="n">
        <v>58.8</v>
      </c>
      <c r="G66" s="32" t="n">
        <v>60</v>
      </c>
      <c r="H66" s="32" t="n">
        <v>61.3</v>
      </c>
      <c r="I66" s="32" t="n">
        <v>60.6</v>
      </c>
      <c r="J66" s="32" t="n">
        <v>55.9</v>
      </c>
      <c r="K66" s="32" t="n">
        <v>54.2</v>
      </c>
      <c r="L66" s="32" t="n">
        <v>49.2</v>
      </c>
      <c r="M66" s="32" t="n">
        <v>52.4</v>
      </c>
      <c r="N66" s="32" t="n">
        <v>52.4</v>
      </c>
      <c r="O66" s="32" t="n">
        <v>52.4</v>
      </c>
      <c r="P66" s="36">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32" t="n">
        <v>41</v>
      </c>
    </row>
    <row r="72">
      <c r="A72" s="3" t="inlineStr">
        <is>
          <t>Yield per cent of REAL ESTATE rate, per year (certified real base / 10,000)</t>
        </is>
      </c>
      <c r="B72" s="9">
        <f>1661885191/10000</f>
        <v/>
      </c>
      <c r="G72" s="21" t="inlineStr">
        <is>
          <t>CORRECTED in v4.6: the FY2025 audit's certified valuation of $1,843,569,625 splits, at its own calculated levy of $9,880,143 with rates 52.4 real / 64.5 tangible, into $1,661,885,191 real and $181,684,434 tangible; one real cent yields $166,189 at full collection. The earlier blended figure ($7,829,060 collections / 41.0 cents = $190,953) mixed tangible taxed at 64.5 cents into a real-rate move and overstated the options below by about 13 percent. Tangible (already 64.5, above every option) and motor vehicle rates do not move</t>
        </is>
      </c>
    </row>
    <row r="73">
      <c r="A73" s="3" t="inlineStr">
        <is>
          <t>Median owner-occupied home value, Bourbon County (Census ACS 2019-2023, table B25077)</t>
        </is>
      </c>
      <c r="B73" s="8" t="n">
        <v>211600</v>
      </c>
    </row>
    <row r="74">
      <c r="A74" s="3" t="inlineStr">
        <is>
          <t>Cost per added cent to that household, per year</t>
        </is>
      </c>
      <c r="B74" s="37">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25" t="inlineStr">
        <is>
          <t>Option</t>
        </is>
      </c>
      <c r="B76" s="25" t="inlineStr">
        <is>
          <t>New rate</t>
        </is>
      </c>
      <c r="C76" s="25" t="inlineStr">
        <is>
          <t>Added cents</t>
        </is>
      </c>
      <c r="D76" s="25" t="inlineStr">
        <is>
          <t>Revenue per year</t>
        </is>
      </c>
      <c r="E76" s="25" t="inlineStr">
        <is>
          <t>Median-home cost/yr</t>
        </is>
      </c>
      <c r="F76" s="25" t="inlineStr">
        <is>
          <t>Direct bond capacity</t>
        </is>
      </c>
    </row>
    <row r="77">
      <c r="A77" s="3" t="inlineStr">
        <is>
          <t>Match Harrison County (2025-26 levied rate)</t>
        </is>
      </c>
      <c r="B77" s="27">
        <f>B24</f>
        <v/>
      </c>
      <c r="C77" s="38">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7">
        <f>MEDIAN(O58,O59,O60,O61,O63,O64,O65,O66)</f>
        <v/>
      </c>
      <c r="C78" s="38">
        <f>B78-B12</f>
        <v/>
      </c>
      <c r="D78" s="9">
        <f>C78*$B$72</f>
        <v/>
      </c>
      <c r="E78" s="9">
        <f>C78*$B$74</f>
        <v/>
      </c>
      <c r="F78" s="9">
        <f>D78*(1-(1+Debt_Service!B40)^-Debt_Service!B41)/Debt_Service!B40</f>
        <v/>
      </c>
    </row>
    <row r="79">
      <c r="A79" s="3" t="inlineStr">
        <is>
          <t>Restore Bourbon's own 2018 rate</t>
        </is>
      </c>
      <c r="B79" s="27">
        <f>B5</f>
        <v/>
      </c>
      <c r="C79" s="38">
        <f>B79-B12</f>
        <v/>
      </c>
      <c r="D79" s="9">
        <f>C79*$B$72</f>
        <v/>
      </c>
      <c r="E79" s="9">
        <f>C79*$B$74</f>
        <v/>
      </c>
      <c r="F79" s="9">
        <f>D79*(1-(1+Debt_Service!B40)^-Debt_Service!B41)/Debt_Service!B40</f>
        <v/>
      </c>
    </row>
    <row r="80">
      <c r="A80" s="3" t="inlineStr">
        <is>
          <t>Match Clark County (2025-26 levied rate)</t>
        </is>
      </c>
      <c r="B80" s="27">
        <f>O61</f>
        <v/>
      </c>
      <c r="C80" s="38">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19">
        <f>B84-B83</f>
        <v/>
      </c>
      <c r="G85" s="21" t="inlineStr">
        <is>
          <t>Negative about $216,000: the restore covers the operating close and most of the sweep; the remainder sits well inside the cost package's $760,000 floor. An earlier version showed +$4,551 on the blended per-cent basis, corrected in v4.6</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19">
        <f>B86+B87+B88</f>
        <v/>
      </c>
      <c r="G89" s="21" t="inlineStr">
        <is>
          <t>Roughly $35 million, for $15.69 a month on the median home, with nothing closed. The Harrison and median options are honest partial steps, leaving about $814,000 and $382,000 a year to find from the alternatives menu before the sweep can end; the Clark option adds about $6.3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3">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25" t="inlineStr">
        <is>
          <t>Assessment growth</t>
        </is>
      </c>
      <c r="B98" s="25" t="inlineStr">
        <is>
          <t>Compensating rate</t>
        </is>
      </c>
      <c r="C98" s="25" t="inlineStr">
        <is>
          <t>4 percent option</t>
        </is>
      </c>
      <c r="D98" s="25" t="inlineStr">
        <is>
          <t>Rate raised 4 percent</t>
        </is>
      </c>
      <c r="E98" s="25" t="inlineStr">
        <is>
          <t>Revenue at 4 percent option</t>
        </is>
      </c>
      <c r="F98" s="25" t="inlineStr">
        <is>
          <t>Revenue at rate x 1.04</t>
        </is>
      </c>
      <c r="G98" s="25" t="inlineStr">
        <is>
          <t>Above the ceiling, recallable</t>
        </is>
      </c>
    </row>
    <row r="99">
      <c r="A99" s="39" t="n">
        <v>0</v>
      </c>
      <c r="B99" s="33">
        <f>$B$95/(1+A99)</f>
        <v/>
      </c>
      <c r="C99" s="33">
        <f>B99*1.04</f>
        <v/>
      </c>
      <c r="D99" s="33">
        <f>$B$95*1.04</f>
        <v/>
      </c>
      <c r="E99" s="9">
        <f>$B$94*(1+A99)*C99/100/100</f>
        <v/>
      </c>
      <c r="F99" s="9">
        <f>$B$94*(1+A99)*D99/100/100</f>
        <v/>
      </c>
      <c r="G99" s="19">
        <f>F99-E99</f>
        <v/>
      </c>
    </row>
    <row r="100">
      <c r="A100" s="39" t="n">
        <v>0.03</v>
      </c>
      <c r="B100" s="33">
        <f>$B$95/(1+A100)</f>
        <v/>
      </c>
      <c r="C100" s="33">
        <f>B100*1.04</f>
        <v/>
      </c>
      <c r="D100" s="33">
        <f>$B$95*1.04</f>
        <v/>
      </c>
      <c r="E100" s="9">
        <f>$B$94*(1+A100)*C100/100/100</f>
        <v/>
      </c>
      <c r="F100" s="9">
        <f>$B$94*(1+A100)*D100/100/100</f>
        <v/>
      </c>
      <c r="G100" s="19">
        <f>F100-E100</f>
        <v/>
      </c>
    </row>
    <row r="101">
      <c r="A101" s="39" t="n">
        <v>0.05</v>
      </c>
      <c r="B101" s="33">
        <f>$B$95/(1+A101)</f>
        <v/>
      </c>
      <c r="C101" s="33">
        <f>B101*1.04</f>
        <v/>
      </c>
      <c r="D101" s="33">
        <f>$B$95*1.04</f>
        <v/>
      </c>
      <c r="E101" s="9">
        <f>$B$94*(1+A101)*C101/100/100</f>
        <v/>
      </c>
      <c r="F101" s="9">
        <f>$B$94*(1+A101)*D101/100/100</f>
        <v/>
      </c>
      <c r="G101" s="19">
        <f>F101-E101</f>
        <v/>
      </c>
    </row>
    <row r="102">
      <c r="A102" s="39" t="n">
        <v>0.07000000000000001</v>
      </c>
      <c r="B102" s="33">
        <f>$B$95/(1+A102)</f>
        <v/>
      </c>
      <c r="C102" s="33">
        <f>B102*1.04</f>
        <v/>
      </c>
      <c r="D102" s="33">
        <f>$B$95*1.04</f>
        <v/>
      </c>
      <c r="E102" s="9">
        <f>$B$94*(1+A102)*C102/100/100</f>
        <v/>
      </c>
      <c r="F102" s="9">
        <f>$B$94*(1+A102)*D102/100/100</f>
        <v/>
      </c>
      <c r="G102" s="19">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32" t="n">
        <v>49.2</v>
      </c>
    </row>
    <row r="110">
      <c r="A110" s="3" t="inlineStr">
        <is>
          <t>Total levied rate, tax year 2023 (held at 52.4 for three years since)</t>
        </is>
      </c>
      <c r="B110" s="32" t="n">
        <v>52.4</v>
      </c>
    </row>
    <row r="111">
      <c r="A111" s="3" t="inlineStr">
        <is>
          <t>Net change</t>
        </is>
      </c>
      <c r="B111" s="38">
        <f>B110-B109</f>
        <v/>
      </c>
    </row>
    <row r="112">
      <c r="A112" s="3" t="inlineStr">
        <is>
          <t>Recallable facilities nickel levied 8/17/2023 (KDE levied-rates file, current year)</t>
        </is>
      </c>
      <c r="B112" s="32" t="n">
        <v>5.7</v>
      </c>
    </row>
    <row r="113">
      <c r="A113" s="3" t="inlineStr">
        <is>
          <t>Implied change in the rest of the rate</t>
        </is>
      </c>
      <c r="B113" s="40">
        <f>B111-B112</f>
        <v/>
      </c>
    </row>
    <row r="114">
      <c r="A114" s="3" t="inlineStr">
        <is>
          <t>Implied annual change in unrestricted revenue</t>
        </is>
      </c>
      <c r="B114" s="19">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8">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0" t="inlineStr">
        <is>
          <t>1989</t>
        </is>
      </c>
      <c r="F33" s="10" t="n">
        <v>261</v>
      </c>
      <c r="H33" s="20" t="inlineStr">
        <is>
          <t>2008</t>
        </is>
      </c>
      <c r="I33" s="10" t="n">
        <v>224</v>
      </c>
      <c r="J33" s="21" t="inlineStr">
        <is>
          <t>1989-2014 compiled by PublicSchoolReview from federal data; 2015-2025 match NCES directly</t>
        </is>
      </c>
    </row>
    <row r="34">
      <c r="A34" s="3" t="inlineStr">
        <is>
          <t>Latest official count (2024-25)</t>
        </is>
      </c>
      <c r="B34" s="11">
        <f>I50</f>
        <v/>
      </c>
      <c r="E34" s="20" t="inlineStr">
        <is>
          <t>1990</t>
        </is>
      </c>
      <c r="F34" s="10" t="n">
        <v>255</v>
      </c>
      <c r="H34" s="20" t="inlineStr">
        <is>
          <t>2009</t>
        </is>
      </c>
      <c r="I34" s="10" t="n">
        <v>217</v>
      </c>
    </row>
    <row r="35">
      <c r="A35" s="3" t="inlineStr">
        <is>
          <t>Decline from peak</t>
        </is>
      </c>
      <c r="B35" s="11">
        <f>B33-B34</f>
        <v/>
      </c>
      <c r="E35" s="20" t="inlineStr">
        <is>
          <t>1991</t>
        </is>
      </c>
      <c r="F35" s="10" t="n">
        <v>234</v>
      </c>
      <c r="H35" s="20" t="inlineStr">
        <is>
          <t>2010</t>
        </is>
      </c>
      <c r="I35" s="10" t="n">
        <v>177</v>
      </c>
    </row>
    <row r="36">
      <c r="A36" s="3" t="inlineStr">
        <is>
          <t>Decline as a share of peak</t>
        </is>
      </c>
      <c r="B36" s="18">
        <f>B35/B33</f>
        <v/>
      </c>
      <c r="E36" s="20" t="inlineStr">
        <is>
          <t>1992</t>
        </is>
      </c>
      <c r="F36" s="10" t="n">
        <v>225</v>
      </c>
      <c r="H36" s="20" t="inlineStr">
        <is>
          <t>2011</t>
        </is>
      </c>
      <c r="I36" s="10" t="n">
        <v>165</v>
      </c>
    </row>
    <row r="37">
      <c r="A37" s="3" t="inlineStr">
        <is>
          <t>Current rated capacity</t>
        </is>
      </c>
      <c r="B37" s="29">
        <f>Assumptions!B12</f>
        <v/>
      </c>
      <c r="E37" s="20" t="inlineStr">
        <is>
          <t>1993</t>
        </is>
      </c>
      <c r="F37" s="10" t="n">
        <v>202</v>
      </c>
      <c r="H37" s="20" t="inlineStr">
        <is>
          <t>2012</t>
        </is>
      </c>
      <c r="I37" s="10" t="n">
        <v>167</v>
      </c>
    </row>
    <row r="38">
      <c r="E38" s="20" t="inlineStr">
        <is>
          <t>1994</t>
        </is>
      </c>
      <c r="F38" s="10" t="n">
        <v>203</v>
      </c>
      <c r="H38" s="20" t="inlineStr">
        <is>
          <t>2013</t>
        </is>
      </c>
      <c r="I38" s="10" t="n">
        <v>154</v>
      </c>
    </row>
    <row r="39">
      <c r="E39" s="20" t="inlineStr">
        <is>
          <t>1995</t>
        </is>
      </c>
      <c r="F39" s="10" t="n">
        <v>182</v>
      </c>
      <c r="H39" s="20" t="inlineStr">
        <is>
          <t>2014</t>
        </is>
      </c>
      <c r="I39" s="10" t="n">
        <v>154</v>
      </c>
    </row>
    <row r="40">
      <c r="E40" s="20" t="inlineStr">
        <is>
          <t>1996</t>
        </is>
      </c>
      <c r="F40" s="10" t="n">
        <v>196</v>
      </c>
      <c r="H40" s="20" t="inlineStr">
        <is>
          <t>2015</t>
        </is>
      </c>
      <c r="I40" s="10" t="n">
        <v>155</v>
      </c>
    </row>
    <row r="41">
      <c r="E41" s="20" t="inlineStr">
        <is>
          <t>1997</t>
        </is>
      </c>
      <c r="F41" s="10" t="n">
        <v>208</v>
      </c>
      <c r="H41" s="20" t="inlineStr">
        <is>
          <t>2016</t>
        </is>
      </c>
      <c r="I41" s="10" t="n">
        <v>154</v>
      </c>
    </row>
    <row r="42">
      <c r="E42" s="20" t="inlineStr">
        <is>
          <t>1998</t>
        </is>
      </c>
      <c r="F42" s="10" t="n">
        <v>198</v>
      </c>
      <c r="H42" s="20" t="inlineStr">
        <is>
          <t>2017</t>
        </is>
      </c>
      <c r="I42" s="10" t="n">
        <v>131</v>
      </c>
    </row>
    <row r="43">
      <c r="E43" s="20" t="inlineStr">
        <is>
          <t>1999</t>
        </is>
      </c>
      <c r="F43" s="10" t="n">
        <v>205</v>
      </c>
      <c r="H43" s="20" t="inlineStr">
        <is>
          <t>2018</t>
        </is>
      </c>
      <c r="I43" s="10" t="n">
        <v>131</v>
      </c>
    </row>
    <row r="44">
      <c r="E44" s="20" t="inlineStr">
        <is>
          <t>2000</t>
        </is>
      </c>
      <c r="F44" s="10" t="n">
        <v>195</v>
      </c>
      <c r="H44" s="20" t="inlineStr">
        <is>
          <t>2019</t>
        </is>
      </c>
      <c r="I44" s="10" t="n">
        <v>160</v>
      </c>
    </row>
    <row r="45">
      <c r="E45" s="20" t="inlineStr">
        <is>
          <t>2001</t>
        </is>
      </c>
      <c r="F45" s="10" t="n">
        <v>195</v>
      </c>
      <c r="H45" s="20" t="inlineStr">
        <is>
          <t>2020</t>
        </is>
      </c>
      <c r="I45" s="10" t="n">
        <v>160</v>
      </c>
    </row>
    <row r="46">
      <c r="E46" s="20" t="inlineStr">
        <is>
          <t>2002</t>
        </is>
      </c>
      <c r="F46" s="10" t="n">
        <v>203</v>
      </c>
      <c r="H46" s="20" t="inlineStr">
        <is>
          <t>2021</t>
        </is>
      </c>
      <c r="I46" s="10" t="n">
        <v>148</v>
      </c>
    </row>
    <row r="47">
      <c r="E47" s="20" t="inlineStr">
        <is>
          <t>2003</t>
        </is>
      </c>
      <c r="F47" s="10" t="n">
        <v>196</v>
      </c>
      <c r="H47" s="20" t="inlineStr">
        <is>
          <t>2022</t>
        </is>
      </c>
      <c r="I47" s="10" t="n">
        <v>153</v>
      </c>
    </row>
    <row r="48">
      <c r="E48" s="20" t="inlineStr">
        <is>
          <t>2004</t>
        </is>
      </c>
      <c r="F48" s="10" t="n">
        <v>206</v>
      </c>
      <c r="H48" s="20" t="inlineStr">
        <is>
          <t>2023</t>
        </is>
      </c>
      <c r="I48" s="10" t="n">
        <v>145</v>
      </c>
    </row>
    <row r="49">
      <c r="E49" s="20" t="inlineStr">
        <is>
          <t>2005</t>
        </is>
      </c>
      <c r="F49" s="10" t="n">
        <v>204</v>
      </c>
      <c r="H49" s="20" t="inlineStr">
        <is>
          <t>2024</t>
        </is>
      </c>
      <c r="I49" s="10" t="n">
        <v>135</v>
      </c>
    </row>
    <row r="50">
      <c r="E50" s="20" t="inlineStr">
        <is>
          <t>2006</t>
        </is>
      </c>
      <c r="F50" s="10" t="n">
        <v>199</v>
      </c>
      <c r="H50" s="20" t="inlineStr">
        <is>
          <t>2025</t>
        </is>
      </c>
      <c r="I50" s="10" t="n">
        <v>128</v>
      </c>
    </row>
    <row r="51">
      <c r="E51" s="20"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0" t="inlineStr">
        <is>
          <t>School year</t>
        </is>
      </c>
      <c r="B5" s="20" t="inlineStr">
        <is>
          <t>'15-16</t>
        </is>
      </c>
      <c r="C5" s="20" t="inlineStr">
        <is>
          <t>'16-17</t>
        </is>
      </c>
      <c r="D5" s="20" t="inlineStr">
        <is>
          <t>'17-18</t>
        </is>
      </c>
      <c r="E5" s="20" t="inlineStr">
        <is>
          <t>'18-19</t>
        </is>
      </c>
      <c r="F5" s="20" t="inlineStr">
        <is>
          <t>'19-20</t>
        </is>
      </c>
      <c r="G5" s="20" t="inlineStr">
        <is>
          <t>'20-21</t>
        </is>
      </c>
      <c r="H5" s="20" t="inlineStr">
        <is>
          <t>'21-22</t>
        </is>
      </c>
      <c r="I5" s="20" t="inlineStr">
        <is>
          <t>'22-23</t>
        </is>
      </c>
      <c r="J5" s="20" t="inlineStr">
        <is>
          <t>'23-24</t>
        </is>
      </c>
      <c r="K5" s="20"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1 and 2)</t>
        </is>
      </c>
    </row>
    <row r="14">
      <c r="A14" s="20" t="inlineStr">
        <is>
          <t>School (district)</t>
        </is>
      </c>
      <c r="B14" s="20" t="inlineStr">
        <is>
          <t>2007</t>
        </is>
      </c>
      <c r="C14" s="20" t="inlineStr">
        <is>
          <t>2008</t>
        </is>
      </c>
      <c r="D14" s="20" t="inlineStr">
        <is>
          <t>2009</t>
        </is>
      </c>
      <c r="E14" s="20" t="inlineStr">
        <is>
          <t>2010</t>
        </is>
      </c>
      <c r="F14" s="20" t="inlineStr">
        <is>
          <t>2011</t>
        </is>
      </c>
      <c r="G14" s="20" t="inlineStr">
        <is>
          <t>2012</t>
        </is>
      </c>
      <c r="H14" s="20" t="inlineStr">
        <is>
          <t>2013</t>
        </is>
      </c>
      <c r="I14" s="20" t="inlineStr">
        <is>
          <t>2014</t>
        </is>
      </c>
      <c r="J14" s="20" t="inlineStr">
        <is>
          <t>2015</t>
        </is>
      </c>
      <c r="K14" s="20" t="inlineStr">
        <is>
          <t>2016</t>
        </is>
      </c>
      <c r="L14" s="20" t="inlineStr">
        <is>
          <t>2017</t>
        </is>
      </c>
      <c r="M14" s="20" t="inlineStr">
        <is>
          <t>2018</t>
        </is>
      </c>
      <c r="N14" s="20" t="inlineStr">
        <is>
          <t>2019</t>
        </is>
      </c>
      <c r="O14" s="20" t="inlineStr">
        <is>
          <t>2021</t>
        </is>
      </c>
      <c r="P14" s="20" t="inlineStr">
        <is>
          <t>2022</t>
        </is>
      </c>
      <c r="Q14" s="20" t="inlineStr">
        <is>
          <t>2023</t>
        </is>
      </c>
      <c r="R14" s="20" t="inlineStr">
        <is>
          <t>2024</t>
        </is>
      </c>
      <c r="S14" s="20"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32" t="n">
        <v>56.5</v>
      </c>
      <c r="C15" s="32" t="n">
        <v>63.9</v>
      </c>
      <c r="D15" s="32" t="n">
        <v>68.59999999999999</v>
      </c>
      <c r="E15" s="32" t="n">
        <v>87.90000000000001</v>
      </c>
      <c r="F15" s="32" t="n">
        <v>85.8</v>
      </c>
      <c r="G15" s="32" t="n">
        <v>72.5</v>
      </c>
      <c r="H15" s="32" t="n">
        <v>67.59999999999999</v>
      </c>
      <c r="I15" s="32" t="n">
        <v>56.6</v>
      </c>
      <c r="J15" s="32" t="n">
        <v>56.9</v>
      </c>
      <c r="K15" s="32" t="n">
        <v>48.7</v>
      </c>
      <c r="L15" s="32" t="n">
        <v>49.3</v>
      </c>
      <c r="M15" s="32" t="n">
        <v>40</v>
      </c>
      <c r="N15" s="32" t="n">
        <v>50.4</v>
      </c>
      <c r="P15" s="32" t="n">
        <v>47.7</v>
      </c>
      <c r="Q15" s="32" t="n">
        <v>32.1</v>
      </c>
      <c r="R15" s="32" t="n">
        <v>54.1</v>
      </c>
      <c r="S15" s="32" t="n">
        <v>58.2</v>
      </c>
    </row>
    <row r="16">
      <c r="A16" s="3" t="inlineStr">
        <is>
          <t>Bourbon Central (Bourbon Co.)</t>
        </is>
      </c>
      <c r="B16" s="32" t="n">
        <v>77.5</v>
      </c>
      <c r="C16" s="32" t="n">
        <v>81.90000000000001</v>
      </c>
      <c r="D16" s="32" t="n">
        <v>72.59999999999999</v>
      </c>
      <c r="E16" s="32" t="n">
        <v>69.59999999999999</v>
      </c>
      <c r="F16" s="32" t="n">
        <v>63</v>
      </c>
      <c r="G16" s="32" t="n">
        <v>74.7</v>
      </c>
      <c r="H16" s="32" t="n">
        <v>67.59999999999999</v>
      </c>
      <c r="I16" s="32" t="n">
        <v>51.8</v>
      </c>
      <c r="J16" s="32" t="n">
        <v>52.1</v>
      </c>
      <c r="K16" s="32" t="n">
        <v>30</v>
      </c>
      <c r="L16" s="32" t="n">
        <v>34</v>
      </c>
      <c r="M16" s="32" t="n">
        <v>32.8</v>
      </c>
      <c r="N16" s="32" t="n">
        <v>39.9</v>
      </c>
      <c r="O16" s="32" t="n">
        <v>20</v>
      </c>
      <c r="P16" s="32" t="n">
        <v>29.9</v>
      </c>
      <c r="Q16" s="32" t="n">
        <v>29</v>
      </c>
      <c r="R16" s="32" t="n">
        <v>23.8</v>
      </c>
      <c r="S16" s="32" t="n">
        <v>26.5</v>
      </c>
    </row>
    <row r="17">
      <c r="A17" s="3" t="inlineStr">
        <is>
          <t>Cane Ridge (Bourbon Co.)</t>
        </is>
      </c>
      <c r="B17" s="32" t="n">
        <v>35.2</v>
      </c>
      <c r="C17" s="32" t="n">
        <v>50.9</v>
      </c>
      <c r="D17" s="32" t="n">
        <v>56.2</v>
      </c>
      <c r="E17" s="32" t="n">
        <v>65.5</v>
      </c>
      <c r="F17" s="32" t="n">
        <v>34.5</v>
      </c>
      <c r="G17" s="32" t="n">
        <v>34</v>
      </c>
      <c r="H17" s="32" t="n">
        <v>49.6</v>
      </c>
      <c r="I17" s="32" t="n">
        <v>51</v>
      </c>
      <c r="J17" s="32" t="n">
        <v>51.1</v>
      </c>
      <c r="K17" s="32" t="n">
        <v>57.5</v>
      </c>
      <c r="L17" s="32" t="n">
        <v>50.4</v>
      </c>
      <c r="M17" s="32" t="n">
        <v>41.4</v>
      </c>
      <c r="N17" s="32" t="n">
        <v>38.8</v>
      </c>
      <c r="O17" s="32" t="n">
        <v>23.8</v>
      </c>
      <c r="P17" s="32" t="n">
        <v>38.7</v>
      </c>
      <c r="Q17" s="32" t="n">
        <v>34.6</v>
      </c>
      <c r="R17" s="32" t="n">
        <v>35.8</v>
      </c>
      <c r="S17" s="32" t="n">
        <v>19.3</v>
      </c>
    </row>
    <row r="18">
      <c r="A18" s="3" t="inlineStr">
        <is>
          <t>Paris Elementary (Paris Indep.)</t>
        </is>
      </c>
      <c r="R18" s="32" t="n">
        <v>16.8</v>
      </c>
      <c r="S18" s="32" t="n">
        <v>12.2</v>
      </c>
    </row>
    <row r="19">
      <c r="A19" s="3" t="inlineStr">
        <is>
          <t>Shearer (Clark Co.)</t>
        </is>
      </c>
      <c r="R19" s="32" t="n">
        <v>30.7</v>
      </c>
      <c r="S19" s="32" t="n">
        <v>42.3</v>
      </c>
    </row>
    <row r="20">
      <c r="A20" s="3" t="inlineStr">
        <is>
          <t>Justice (Clark Co.)</t>
        </is>
      </c>
      <c r="R20" s="32" t="n">
        <v>43.2</v>
      </c>
      <c r="S20" s="32" t="n">
        <v>39.3</v>
      </c>
    </row>
    <row r="21">
      <c r="A21" s="3" t="inlineStr">
        <is>
          <t>Strode Station (Clark Co.)</t>
        </is>
      </c>
      <c r="R21" s="32" t="n">
        <v>43.2</v>
      </c>
      <c r="S21" s="32" t="n">
        <v>34.2</v>
      </c>
    </row>
    <row r="22">
      <c r="A22" s="3" t="inlineStr">
        <is>
          <t>Conkwright (Clark Co.)</t>
        </is>
      </c>
      <c r="R22" s="32" t="n">
        <v>15.6</v>
      </c>
      <c r="S22" s="32" t="n">
        <v>17.5</v>
      </c>
    </row>
    <row r="23">
      <c r="A23" s="3" t="inlineStr">
        <is>
          <t>Northview (Montgomery Co.)</t>
        </is>
      </c>
      <c r="R23" s="32" t="n">
        <v>67.40000000000001</v>
      </c>
      <c r="S23" s="32" t="n">
        <v>68.90000000000001</v>
      </c>
    </row>
    <row r="24">
      <c r="A24" s="3" t="inlineStr">
        <is>
          <t>Mapleton (Montgomery Co.)</t>
        </is>
      </c>
      <c r="R24" s="32" t="n">
        <v>65.90000000000001</v>
      </c>
      <c r="S24" s="32" t="n">
        <v>65.09999999999999</v>
      </c>
    </row>
    <row r="25">
      <c r="A25" s="3" t="inlineStr">
        <is>
          <t>Nicholas County Elementary (Nicholas Co.)</t>
        </is>
      </c>
      <c r="R25" s="32" t="n">
        <v>15.9</v>
      </c>
      <c r="T25" s="2" t="inlineStr">
        <is>
          <t>Nicholas County: 2024 value; 2025 not retrieved</t>
        </is>
      </c>
    </row>
    <row r="26">
      <c r="A26" s="3" t="inlineStr">
        <is>
          <t>Three-year average, 2023-2025: NMES / Bourbon Central / Cane Ridge</t>
        </is>
      </c>
      <c r="B26" s="27">
        <f>AVERAGE(Q15:S15)</f>
        <v/>
      </c>
      <c r="C26" s="27">
        <f>AVERAGE(Q16:S16)</f>
        <v/>
      </c>
      <c r="D26" s="27">
        <f>AVERAGE(Q17:S17)</f>
        <v/>
      </c>
    </row>
    <row r="28">
      <c r="A28" s="4" t="inlineStr">
        <is>
          <t>NMES DETAIL, 2024-25 (backs Section 5)</t>
        </is>
      </c>
    </row>
    <row r="29">
      <c r="B29" s="20" t="inlineStr">
        <is>
          <t>NMES</t>
        </is>
      </c>
      <c r="C29" s="20"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25" t="inlineStr">
        <is>
          <t>Subject</t>
        </is>
      </c>
      <c r="B34" s="41" t="inlineStr">
        <is>
          <t>NMES</t>
        </is>
      </c>
      <c r="C34" s="25" t="inlineStr">
        <is>
          <t>Bourbon Central</t>
        </is>
      </c>
      <c r="D34" s="25" t="inlineStr">
        <is>
          <t>Cane Ridge</t>
        </is>
      </c>
      <c r="E34" s="25" t="inlineStr">
        <is>
          <t>Paris Elem.</t>
        </is>
      </c>
      <c r="F34" s="25"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0" t="inlineStr">
        <is>
          <t>Percent proficient or distinguished</t>
        </is>
      </c>
      <c r="B44" s="20" t="inlineStr">
        <is>
          <t>'11-12</t>
        </is>
      </c>
      <c r="C44" s="20" t="inlineStr">
        <is>
          <t>'12-13</t>
        </is>
      </c>
      <c r="D44" s="20" t="inlineStr">
        <is>
          <t>'13-14</t>
        </is>
      </c>
      <c r="E44" s="20" t="inlineStr">
        <is>
          <t>'14-15</t>
        </is>
      </c>
      <c r="F44" s="20" t="inlineStr">
        <is>
          <t>'15-16</t>
        </is>
      </c>
      <c r="G44" s="20" t="inlineStr">
        <is>
          <t>'16-17</t>
        </is>
      </c>
      <c r="H44" s="20" t="inlineStr">
        <is>
          <t>'17-18</t>
        </is>
      </c>
      <c r="I44" s="20" t="inlineStr">
        <is>
          <t>'18-19</t>
        </is>
      </c>
      <c r="J44" s="20" t="inlineStr">
        <is>
          <t>'20-21</t>
        </is>
      </c>
      <c r="K44" s="20" t="inlineStr">
        <is>
          <t>'21-22</t>
        </is>
      </c>
      <c r="L44" s="20" t="inlineStr">
        <is>
          <t>'22-23</t>
        </is>
      </c>
      <c r="M44" s="20" t="inlineStr">
        <is>
          <t>'23-24</t>
        </is>
      </c>
      <c r="N44" s="20"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32" t="n">
        <v>51.9</v>
      </c>
      <c r="C45" s="32" t="n">
        <v>59.7</v>
      </c>
      <c r="D45" s="32" t="n">
        <v>63.2</v>
      </c>
      <c r="E45" s="32" t="n">
        <v>53.2</v>
      </c>
      <c r="F45" s="32" t="n">
        <v>56.1</v>
      </c>
      <c r="G45" s="32" t="n">
        <v>55.6</v>
      </c>
      <c r="H45" s="32" t="n">
        <v>42.3</v>
      </c>
      <c r="I45" s="32" t="n">
        <v>48.4</v>
      </c>
      <c r="J45" s="32" t="n">
        <v>21.4</v>
      </c>
      <c r="K45" s="32" t="n">
        <v>32</v>
      </c>
      <c r="L45" s="32" t="n">
        <v>43</v>
      </c>
      <c r="M45" s="32" t="n">
        <v>45</v>
      </c>
      <c r="N45" s="32" t="n">
        <v>41</v>
      </c>
    </row>
    <row r="46">
      <c r="A46" s="3" t="inlineStr">
        <is>
          <t>Reading: Bourbon Central</t>
        </is>
      </c>
      <c r="B46" s="32" t="n">
        <v>62.1</v>
      </c>
      <c r="C46" s="32" t="n">
        <v>56.6</v>
      </c>
      <c r="D46" s="32" t="n">
        <v>61.2</v>
      </c>
      <c r="E46" s="32" t="n">
        <v>55.7</v>
      </c>
      <c r="F46" s="32" t="n">
        <v>47.9</v>
      </c>
      <c r="G46" s="32" t="n">
        <v>47.9</v>
      </c>
      <c r="H46" s="32" t="n">
        <v>49.3</v>
      </c>
      <c r="I46" s="32" t="n">
        <v>49.1</v>
      </c>
      <c r="J46" s="32" t="n">
        <v>27.1</v>
      </c>
      <c r="K46" s="32" t="n">
        <v>43</v>
      </c>
      <c r="L46" s="32" t="n">
        <v>37</v>
      </c>
      <c r="M46" s="32" t="n">
        <v>36</v>
      </c>
      <c r="N46" s="32" t="n">
        <v>38</v>
      </c>
    </row>
    <row r="47">
      <c r="A47" s="3" t="inlineStr">
        <is>
          <t>Reading: Cane Ridge</t>
        </is>
      </c>
      <c r="B47" s="32" t="n">
        <v>42.9</v>
      </c>
      <c r="C47" s="32" t="n">
        <v>47.2</v>
      </c>
      <c r="D47" s="32" t="n">
        <v>54.5</v>
      </c>
      <c r="E47" s="32" t="n">
        <v>55.3</v>
      </c>
      <c r="F47" s="32" t="n">
        <v>59.3</v>
      </c>
      <c r="G47" s="32" t="n">
        <v>57.1</v>
      </c>
      <c r="H47" s="32" t="n">
        <v>52</v>
      </c>
      <c r="I47" s="32" t="n">
        <v>49.6</v>
      </c>
      <c r="J47" s="32" t="n">
        <v>26.5</v>
      </c>
      <c r="K47" s="32" t="n">
        <v>44</v>
      </c>
      <c r="L47" s="32" t="n">
        <v>40</v>
      </c>
      <c r="M47" s="32" t="n">
        <v>40</v>
      </c>
      <c r="N47" s="32" t="n">
        <v>37</v>
      </c>
    </row>
    <row r="48">
      <c r="A48" s="3" t="inlineStr">
        <is>
          <t>Reading: Paris Elementary</t>
        </is>
      </c>
      <c r="B48" s="32" t="n">
        <v>31</v>
      </c>
      <c r="C48" s="32" t="n">
        <v>34.1</v>
      </c>
      <c r="D48" s="32" t="n">
        <v>42.9</v>
      </c>
      <c r="E48" s="32" t="n">
        <v>38.9</v>
      </c>
      <c r="F48" s="32" t="n">
        <v>41.2</v>
      </c>
      <c r="G48" s="32" t="n">
        <v>34.3</v>
      </c>
      <c r="H48" s="32" t="n">
        <v>34.4</v>
      </c>
      <c r="I48" s="32" t="n">
        <v>35.3</v>
      </c>
      <c r="J48" s="32" t="n">
        <v>25</v>
      </c>
      <c r="K48" s="32" t="n">
        <v>28</v>
      </c>
      <c r="L48" s="32" t="n">
        <v>25</v>
      </c>
      <c r="M48" s="32" t="n">
        <v>30</v>
      </c>
      <c r="N48" s="32" t="n">
        <v>25</v>
      </c>
    </row>
    <row r="49">
      <c r="A49" s="3" t="inlineStr">
        <is>
          <t>Mathematics: North Middletown</t>
        </is>
      </c>
      <c r="B49" s="32" t="n">
        <v>53.2</v>
      </c>
      <c r="C49" s="32" t="n">
        <v>49.4</v>
      </c>
      <c r="D49" s="32" t="n">
        <v>55.3</v>
      </c>
      <c r="E49" s="32" t="n">
        <v>59.5</v>
      </c>
      <c r="F49" s="32" t="n">
        <v>62.1</v>
      </c>
      <c r="G49" s="32" t="n">
        <v>50.8</v>
      </c>
      <c r="H49" s="32" t="n">
        <v>47.9</v>
      </c>
      <c r="I49" s="32" t="n">
        <v>48.4</v>
      </c>
      <c r="J49" s="32" t="n">
        <v>17.9</v>
      </c>
      <c r="K49" s="32" t="n">
        <v>31</v>
      </c>
      <c r="L49" s="32" t="n">
        <v>30</v>
      </c>
      <c r="M49" s="32" t="n">
        <v>45</v>
      </c>
      <c r="N49" s="32" t="n">
        <v>31</v>
      </c>
    </row>
    <row r="50">
      <c r="A50" s="3" t="inlineStr">
        <is>
          <t>Mathematics: Bourbon Central</t>
        </is>
      </c>
      <c r="B50" s="32" t="n">
        <v>47.1</v>
      </c>
      <c r="C50" s="32" t="n">
        <v>47.4</v>
      </c>
      <c r="D50" s="32" t="n">
        <v>43</v>
      </c>
      <c r="E50" s="32" t="n">
        <v>43.6</v>
      </c>
      <c r="F50" s="32" t="n">
        <v>40</v>
      </c>
      <c r="G50" s="32" t="n">
        <v>43.5</v>
      </c>
      <c r="H50" s="32" t="n">
        <v>41.8</v>
      </c>
      <c r="I50" s="32" t="n">
        <v>45.1</v>
      </c>
      <c r="J50" s="32" t="n">
        <v>31.7</v>
      </c>
      <c r="K50" s="32" t="n">
        <v>27</v>
      </c>
      <c r="L50" s="32" t="n">
        <v>28</v>
      </c>
      <c r="M50" s="32" t="n">
        <v>23</v>
      </c>
      <c r="N50" s="32" t="n">
        <v>28</v>
      </c>
    </row>
    <row r="51">
      <c r="A51" s="3" t="inlineStr">
        <is>
          <t>Mathematics: Cane Ridge</t>
        </is>
      </c>
      <c r="B51" s="32" t="n">
        <v>33.3</v>
      </c>
      <c r="C51" s="32" t="n">
        <v>37.7</v>
      </c>
      <c r="D51" s="32" t="n">
        <v>43.1</v>
      </c>
      <c r="E51" s="32" t="n">
        <v>46.1</v>
      </c>
      <c r="F51" s="32" t="n">
        <v>54.4</v>
      </c>
      <c r="G51" s="32" t="n">
        <v>45.9</v>
      </c>
      <c r="H51" s="32" t="n">
        <v>41.5</v>
      </c>
      <c r="I51" s="32" t="n">
        <v>39</v>
      </c>
      <c r="J51" s="32" t="n">
        <v>25.2</v>
      </c>
      <c r="K51" s="32" t="n">
        <v>33</v>
      </c>
      <c r="L51" s="32" t="n">
        <v>35</v>
      </c>
      <c r="M51" s="32" t="n">
        <v>30</v>
      </c>
      <c r="N51" s="32" t="n">
        <v>27</v>
      </c>
    </row>
    <row r="52">
      <c r="A52" s="3" t="inlineStr">
        <is>
          <t>Mathematics: Paris Elementary</t>
        </is>
      </c>
      <c r="B52" s="32" t="n">
        <v>29.7</v>
      </c>
      <c r="C52" s="32" t="n">
        <v>25</v>
      </c>
      <c r="D52" s="32" t="n">
        <v>26.8</v>
      </c>
      <c r="E52" s="32" t="n">
        <v>22.9</v>
      </c>
      <c r="F52" s="32" t="n">
        <v>41.9</v>
      </c>
      <c r="G52" s="32" t="n">
        <v>28.7</v>
      </c>
      <c r="H52" s="32" t="n">
        <v>30</v>
      </c>
      <c r="I52" s="32" t="n">
        <v>32</v>
      </c>
      <c r="J52" s="32" t="n">
        <v>15.3</v>
      </c>
      <c r="K52" s="32" t="n">
        <v>23</v>
      </c>
      <c r="L52" s="32" t="n">
        <v>32</v>
      </c>
      <c r="M52" s="32" t="n">
        <v>27</v>
      </c>
      <c r="N52" s="32" t="n">
        <v>29</v>
      </c>
    </row>
    <row r="53">
      <c r="A53" s="21" t="inlineStr">
        <is>
          <t>NMES led the county in mathematics in every pre-COVID administration on record, 2011-12 through 2018-19: eight straight years.</t>
        </is>
      </c>
    </row>
    <row r="55">
      <c r="A55" s="20" t="inlineStr">
        <is>
          <t>Official overall score</t>
        </is>
      </c>
      <c r="B55" s="20" t="inlineStr">
        <is>
          <t>'11-12</t>
        </is>
      </c>
      <c r="C55" s="20" t="inlineStr">
        <is>
          <t>'12-13</t>
        </is>
      </c>
      <c r="D55" s="20" t="inlineStr">
        <is>
          <t>'13-14</t>
        </is>
      </c>
      <c r="E55" s="20" t="inlineStr">
        <is>
          <t>'14-15</t>
        </is>
      </c>
      <c r="F55" s="20" t="inlineStr">
        <is>
          <t>'15-16</t>
        </is>
      </c>
      <c r="G55" s="20" t="inlineStr">
        <is>
          <t>'16-17</t>
        </is>
      </c>
      <c r="H55" s="20" t="inlineStr">
        <is>
          <t>'17-18</t>
        </is>
      </c>
      <c r="I55" s="20" t="inlineStr">
        <is>
          <t>'18-19</t>
        </is>
      </c>
      <c r="J55" s="20" t="inlineStr">
        <is>
          <t>'20-21</t>
        </is>
      </c>
      <c r="K55" s="20" t="inlineStr">
        <is>
          <t>'21-22</t>
        </is>
      </c>
      <c r="L55" s="20" t="inlineStr">
        <is>
          <t>'22-23</t>
        </is>
      </c>
      <c r="M55" s="20" t="inlineStr">
        <is>
          <t>'23-24</t>
        </is>
      </c>
      <c r="N55" s="20"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32" t="n">
        <v>62.6</v>
      </c>
      <c r="C56" s="32" t="n">
        <v>68.8</v>
      </c>
      <c r="D56" s="32" t="n">
        <v>71.40000000000001</v>
      </c>
      <c r="E56" s="32" t="n">
        <v>72.09999999999999</v>
      </c>
      <c r="F56" s="32" t="n">
        <v>79.09999999999999</v>
      </c>
      <c r="K56" s="32" t="n">
        <v>51.9</v>
      </c>
      <c r="L56" s="32" t="n">
        <v>62.2</v>
      </c>
      <c r="M56" s="32" t="n">
        <v>74.5</v>
      </c>
      <c r="N56" s="32" t="n">
        <v>54</v>
      </c>
    </row>
    <row r="57">
      <c r="A57" s="3" t="inlineStr">
        <is>
          <t>Bourbon Central</t>
        </is>
      </c>
      <c r="B57" s="32" t="n">
        <v>63.2</v>
      </c>
      <c r="C57" s="32" t="n">
        <v>63</v>
      </c>
      <c r="D57" s="32" t="n">
        <v>69.8</v>
      </c>
      <c r="E57" s="32" t="n">
        <v>67.8</v>
      </c>
      <c r="F57" s="32" t="n">
        <v>56.8</v>
      </c>
      <c r="K57" s="32" t="n">
        <v>52.8</v>
      </c>
      <c r="L57" s="32" t="n">
        <v>56.7</v>
      </c>
      <c r="M57" s="32" t="n">
        <v>50.3</v>
      </c>
      <c r="N57" s="32" t="n">
        <v>55.4</v>
      </c>
    </row>
    <row r="58">
      <c r="A58" s="3" t="inlineStr">
        <is>
          <t>Cane Ridge</t>
        </is>
      </c>
      <c r="B58" s="32" t="n">
        <v>53.3</v>
      </c>
      <c r="C58" s="32" t="n">
        <v>58.9</v>
      </c>
      <c r="D58" s="32" t="n">
        <v>69.2</v>
      </c>
      <c r="E58" s="32" t="n">
        <v>68.5</v>
      </c>
      <c r="F58" s="32" t="n">
        <v>65.5</v>
      </c>
      <c r="K58" s="32" t="n">
        <v>54.3</v>
      </c>
      <c r="L58" s="32" t="n">
        <v>51.8</v>
      </c>
      <c r="M58" s="32" t="n">
        <v>60.7</v>
      </c>
      <c r="N58" s="32" t="n">
        <v>47.8</v>
      </c>
    </row>
    <row r="59">
      <c r="A59" s="3" t="inlineStr">
        <is>
          <t>Paris Elementary</t>
        </is>
      </c>
      <c r="B59" s="32" t="n">
        <v>48</v>
      </c>
      <c r="C59" s="32" t="n">
        <v>49.9</v>
      </c>
      <c r="D59" s="32" t="n">
        <v>59.4</v>
      </c>
      <c r="E59" s="32" t="n">
        <v>54.8</v>
      </c>
      <c r="F59" s="32" t="n">
        <v>69.59999999999999</v>
      </c>
      <c r="K59" s="32" t="n">
        <v>46.1</v>
      </c>
      <c r="L59" s="32" t="n">
        <v>45.9</v>
      </c>
      <c r="M59" s="32" t="n">
        <v>40.7</v>
      </c>
      <c r="N59" s="32"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the 2026 draft plan now pending would replace it). Both archived in this repository under build/. Figures read enrollment/capacity; the 2021 preschool line (272/200, with the plan's note of 80 full-day plus 192 half-day students) confirms the order.</t>
        </is>
      </c>
    </row>
    <row r="4">
      <c r="A4" s="25" t="inlineStr">
        <is>
          <t>School</t>
        </is>
      </c>
      <c r="B4" s="25" t="inlineStr">
        <is>
          <t>2013 enr</t>
        </is>
      </c>
      <c r="C4" s="25" t="inlineStr">
        <is>
          <t>2013 cap</t>
        </is>
      </c>
      <c r="D4" s="25" t="inlineStr">
        <is>
          <t>2021 enr</t>
        </is>
      </c>
      <c r="E4" s="25" t="inlineStr">
        <is>
          <t>2021 cap</t>
        </is>
      </c>
      <c r="F4" s="25"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2">
        <f>B13-B14</f>
        <v/>
      </c>
    </row>
    <row r="16">
      <c r="A16" s="3" t="inlineStr">
        <is>
          <t>NMES students needing seats on closure</t>
        </is>
      </c>
      <c r="B16" s="29">
        <f>Assumptions!B11</f>
        <v/>
      </c>
    </row>
    <row r="17">
      <c r="A17" s="3" t="inlineStr">
        <is>
          <t>Shortfall if closure proceeds today</t>
        </is>
      </c>
      <c r="B17" s="2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25" t="inlineStr">
        <is>
          <t>School</t>
        </is>
      </c>
      <c r="B29" s="25" t="inlineStr">
        <is>
          <t>2024-25 SAAR end-of-year membership (the draft plan's enrollment column, relabeled in v5.0; state file build/saar_enrollment_2024_25.xls)</t>
        </is>
      </c>
      <c r="C29" s="25" t="inlineStr">
        <is>
          <t>Draft capacity (KFICS)</t>
        </is>
      </c>
      <c r="D29" s="25"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9" t="n">
        <v>128</v>
      </c>
      <c r="C32" s="10" t="n">
        <v>154</v>
      </c>
      <c r="D32" s="11">
        <f>C32-E9</f>
        <v/>
      </c>
    </row>
    <row r="33">
      <c r="A33" s="3" t="inlineStr">
        <is>
          <t>Paper seats added at the receiving schools, with the draft's new-construction sections reading None</t>
        </is>
      </c>
      <c r="B33" s="22">
        <f>D30+D31</f>
        <v/>
      </c>
    </row>
    <row r="34">
      <c r="A34" s="3" t="inlineStr">
        <is>
          <t>NMES fill rate even at the draft's own 154 rating</t>
        </is>
      </c>
      <c r="B34" s="1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25" t="inlineStr">
        <is>
          <t>Facility</t>
        </is>
      </c>
      <c r="B38" s="25" t="inlineStr">
        <is>
          <t>Condition need</t>
        </is>
      </c>
      <c r="C38" s="25" t="inlineStr">
        <is>
          <t>Instructional deficiency</t>
        </is>
      </c>
      <c r="D38" s="25" t="inlineStr">
        <is>
          <t>Total (as printed)</t>
        </is>
      </c>
      <c r="E38" s="25"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19">
        <f>SUM(D39:D45)</f>
        <v/>
      </c>
    </row>
    <row r="47">
      <c r="A47" s="3" t="inlineStr">
        <is>
          <t>Support facilities total (slide)</t>
        </is>
      </c>
      <c r="B47" s="8" t="n">
        <v>7089052</v>
      </c>
    </row>
    <row r="48">
      <c r="A48" s="3" t="inlineStr">
        <is>
          <t>District total need</t>
        </is>
      </c>
      <c r="B48" s="19">
        <f>B46+B47</f>
        <v/>
      </c>
    </row>
    <row r="49">
      <c r="A49" s="3" t="inlineStr">
        <is>
          <t>Receiving schools combined (Bourbon Central + Cane Ridge)</t>
        </is>
      </c>
      <c r="B49" s="19">
        <f>D41+D42</f>
        <v/>
      </c>
    </row>
    <row r="50">
      <c r="A50" s="3" t="inlineStr">
        <is>
          <t>Net receiving seats at the slides' own capacities (499 and 397)</t>
        </is>
      </c>
      <c r="B50" s="2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25" t="inlineStr">
        <is>
          <t>School</t>
        </is>
      </c>
      <c r="B56" s="25" t="inlineStr">
        <is>
          <t>2017 enr</t>
        </is>
      </c>
      <c r="C56" s="25"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25" t="inlineStr">
        <is>
          <t>School</t>
        </is>
      </c>
      <c r="B66" s="25" t="inlineStr">
        <is>
          <t>Oct 2023 report</t>
        </is>
      </c>
      <c r="C66" s="25" t="inlineStr">
        <is>
          <t>Oct 2025 report</t>
        </is>
      </c>
      <c r="D66" s="25" t="inlineStr">
        <is>
          <t>Jul 2026 report</t>
        </is>
      </c>
      <c r="E66" s="25" t="inlineStr">
        <is>
          <t>4-yr needs (Jul 2026)</t>
        </is>
      </c>
      <c r="F66" s="25" t="inlineStr">
        <is>
          <t>Replacement value (Jul 2026)</t>
        </is>
      </c>
    </row>
    <row r="67">
      <c r="A67" s="3" t="inlineStr">
        <is>
          <t>Bourbon Central Elementary (1988)</t>
        </is>
      </c>
      <c r="B67" s="42" t="n">
        <v>0.887637</v>
      </c>
      <c r="C67" s="42" t="n">
        <v>0.819273</v>
      </c>
      <c r="D67" s="42" t="n">
        <v>0.823017</v>
      </c>
      <c r="E67" s="8" t="n">
        <v>4006243.38</v>
      </c>
      <c r="F67" s="8" t="n">
        <v>22636266.8</v>
      </c>
    </row>
    <row r="68">
      <c r="A68" s="3" t="inlineStr">
        <is>
          <t>Cane Ridge Elementary (1992)</t>
        </is>
      </c>
      <c r="B68" s="42" t="n">
        <v>0.8120579999999999</v>
      </c>
      <c r="C68" s="42" t="n">
        <v>0.811765</v>
      </c>
      <c r="D68" s="42" t="n">
        <v>0.728249</v>
      </c>
      <c r="E68" s="8" t="n">
        <v>4796308</v>
      </c>
      <c r="F68" s="8" t="n">
        <v>17649638.79</v>
      </c>
    </row>
    <row r="69">
      <c r="A69" s="3" t="inlineStr">
        <is>
          <t>North Middletown Elementary (1948/64)</t>
        </is>
      </c>
      <c r="B69" s="42" t="n">
        <v>0.694064</v>
      </c>
      <c r="C69" s="42" t="n">
        <v>0.702133</v>
      </c>
      <c r="D69" s="42" t="n">
        <v>0.773295</v>
      </c>
      <c r="E69" s="8" t="n">
        <v>3099147.93</v>
      </c>
      <c r="F69" s="8" t="n">
        <v>13670417.6</v>
      </c>
    </row>
    <row r="70">
      <c r="A70" s="3" t="inlineStr">
        <is>
          <t>Bourbon County Middle School (1948)</t>
        </is>
      </c>
      <c r="B70" s="42" t="n">
        <v>0.726249</v>
      </c>
      <c r="C70" s="42" t="n">
        <v>0.727501</v>
      </c>
      <c r="D70" s="42" t="n">
        <v>0.596145</v>
      </c>
      <c r="E70" s="8" t="n">
        <v>12167086.72</v>
      </c>
      <c r="F70" s="8" t="n">
        <v>30127350</v>
      </c>
    </row>
    <row r="71">
      <c r="A71" s="3" t="inlineStr">
        <is>
          <t>Bourbon County High School (1968)</t>
        </is>
      </c>
      <c r="B71" s="42" t="n">
        <v>0.809819</v>
      </c>
      <c r="C71" s="42" t="n">
        <v>0.802057</v>
      </c>
      <c r="D71" s="42" t="n">
        <v>0.792529</v>
      </c>
      <c r="E71" s="8" t="n">
        <v>10251532.33</v>
      </c>
      <c r="F71" s="8" t="n">
        <v>49411909.14</v>
      </c>
    </row>
    <row r="72">
      <c r="A72" s="3" t="inlineStr">
        <is>
          <t>Check: Condition Index = 1 - (4-year renewal needs / replacement value), NMES</t>
        </is>
      </c>
      <c r="B72" s="43">
        <f>1-E69/F69</f>
        <v/>
      </c>
    </row>
    <row r="73">
      <c r="A73" s="3" t="inlineStr">
        <is>
          <t>NMES change between inspection cycles (2020-21 to April 2026)</t>
        </is>
      </c>
      <c r="B73" s="43">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8">
        <f>84/163</f>
        <v/>
      </c>
    </row>
    <row r="11">
      <c r="A11" s="3" t="inlineStr">
        <is>
          <t>Closures most like this plan (single small elementary, nothing built): count / raw median per displaced student (inside the plausible window the median is $541; see report Section 5)</t>
        </is>
      </c>
      <c r="B11" s="10" t="n">
        <v>27</v>
      </c>
      <c r="C11" s="8" t="n">
        <v>8440</v>
      </c>
    </row>
    <row r="13">
      <c r="A13" s="4" t="inlineStr">
        <is>
          <t>THE DOLLAR TEST: BUDGET GAP VS STATE TREND, CREDITED ENTIRELY TO THE CLOSURE (A GENEROUS CEILING), PER DISPLACED STUDENT</t>
        </is>
      </c>
    </row>
    <row r="14">
      <c r="A14" s="25" t="inlineStr">
        <is>
          <t>Case</t>
        </is>
      </c>
      <c r="B14" s="25" t="inlineStr">
        <is>
          <t>Closed</t>
        </is>
      </c>
      <c r="C14" s="25" t="inlineStr">
        <is>
          <t>Students displaced</t>
        </is>
      </c>
      <c r="D14" s="25" t="inlineStr">
        <is>
          <t>Spending, year before</t>
        </is>
      </c>
      <c r="E14" s="25" t="inlineStr">
        <is>
          <t>Spending, 3 yrs after</t>
        </is>
      </c>
      <c r="F14" s="25" t="inlineStr">
        <is>
          <t>State growth</t>
        </is>
      </c>
      <c r="G14" s="25" t="inlineStr">
        <is>
          <t>Counterfactual</t>
        </is>
      </c>
      <c r="H14" s="25" t="inlineStr">
        <is>
          <t>Gap per year</t>
        </is>
      </c>
      <c r="I14" s="25" t="inlineStr">
        <is>
          <t>Gap per student</t>
        </is>
      </c>
      <c r="J14" s="25" t="inlineStr">
        <is>
          <t>Note</t>
        </is>
      </c>
    </row>
    <row r="15">
      <c r="A15" s="3" t="inlineStr">
        <is>
          <t>Perry County</t>
        </is>
      </c>
      <c r="B15" s="10" t="n">
        <v>2017</v>
      </c>
      <c r="C15" s="10" t="n">
        <v>825</v>
      </c>
      <c r="D15" s="8" t="n">
        <v>42356000</v>
      </c>
      <c r="E15" s="8" t="n">
        <v>44953000</v>
      </c>
      <c r="F15" s="13" t="n">
        <v>0.1323</v>
      </c>
      <c r="G15" s="9">
        <f>D15*(1+F15)</f>
        <v/>
      </c>
      <c r="H15" s="9">
        <f>G15-E15</f>
        <v/>
      </c>
      <c r="I15" s="19">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19">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19">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19">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19">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19">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19">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19">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19">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19">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19">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19">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19">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19">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19">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19">
        <f>H30/C30</f>
        <v/>
      </c>
      <c r="J30" s="21" t="inlineStr">
        <is>
          <t>3 rural elementaries; built NEW Adair County Elementary the same year; pre-closure spending spike reverting; gap is 94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19">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19">
        <f>800000/Assumptions!B11</f>
        <v/>
      </c>
      <c r="C34" s="19">
        <f>1000000/Assumptions!B11</f>
        <v/>
      </c>
    </row>
    <row r="35">
      <c r="A35" s="3" t="inlineStr">
        <is>
          <t>This report's own model, per displaced student: median / central / best case</t>
        </is>
      </c>
      <c r="B35" s="9">
        <f>-474042/Assumptions!B11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9" t="n">
        <v>0.4</v>
      </c>
      <c r="C41" s="39"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19">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32" t="n">
        <v>-2</v>
      </c>
      <c r="C49" s="32"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2"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25" t="inlineStr">
        <is>
          <t>Year</t>
        </is>
      </c>
      <c r="B5" s="25" t="inlineStr">
        <is>
          <t>Members</t>
        </is>
      </c>
      <c r="C5" s="25" t="inlineStr">
        <is>
          <t>Local</t>
        </is>
      </c>
      <c r="D5" s="25" t="inlineStr">
        <is>
          <t>State</t>
        </is>
      </c>
      <c r="E5" s="25" t="inlineStr">
        <is>
          <t>Federal</t>
        </is>
      </c>
      <c r="F5" s="25"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19">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24">
        <f>B15/B17</f>
        <v/>
      </c>
      <c r="G18" s="21" t="inlineStr">
        <is>
          <t>298 students. Per SEEK AADA (2,490) instead of members: 303. The 300 sits between the two bases.</t>
        </is>
      </c>
    </row>
    <row r="19">
      <c r="A19" s="3" t="inlineStr">
        <is>
          <t>Same fraction with matching definitions: all-in cost / total revenue per member (2023-24)</t>
        </is>
      </c>
      <c r="B19" s="27">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25" t="inlineStr">
        <is>
          <t>School</t>
        </is>
      </c>
      <c r="B22" s="25" t="inlineStr">
        <is>
          <t>Cost/pupil</t>
        </is>
      </c>
      <c r="C22" s="25" t="inlineStr">
        <is>
          <t>Enrolled</t>
        </is>
      </c>
      <c r="D22" s="25" t="inlineStr">
        <is>
          <t>Breakeven N</t>
        </is>
      </c>
      <c r="E22" s="25" t="inlineStr">
        <is>
          <t>Short by</t>
        </is>
      </c>
    </row>
    <row r="23">
      <c r="A23" s="3" t="inlineStr">
        <is>
          <t>North Middletown</t>
        </is>
      </c>
      <c r="B23" s="8" t="n">
        <v>19348</v>
      </c>
      <c r="C23" s="10" t="n">
        <v>128</v>
      </c>
      <c r="D23" s="30">
        <f>B23*C23/F$10</f>
        <v/>
      </c>
      <c r="E23" s="30">
        <f>D23-C23</f>
        <v/>
      </c>
    </row>
    <row r="24">
      <c r="A24" s="3" t="inlineStr">
        <is>
          <t>Bourbon Central</t>
        </is>
      </c>
      <c r="B24" s="8" t="n">
        <v>18131</v>
      </c>
      <c r="C24" s="10" t="n">
        <v>459</v>
      </c>
      <c r="D24" s="30">
        <f>B24*C24/F$10</f>
        <v/>
      </c>
      <c r="E24" s="30">
        <f>D24-C24</f>
        <v/>
      </c>
    </row>
    <row r="25">
      <c r="A25" s="3" t="inlineStr">
        <is>
          <t>Cane Ridge</t>
        </is>
      </c>
      <c r="B25" s="8" t="n">
        <v>18670</v>
      </c>
      <c r="C25" s="10" t="n">
        <v>453</v>
      </c>
      <c r="D25" s="30">
        <f>B25*C25/F$10</f>
        <v/>
      </c>
      <c r="E25" s="30">
        <f>D25-C25</f>
        <v/>
      </c>
    </row>
    <row r="26">
      <c r="A26" s="3" t="inlineStr">
        <is>
          <t>Bourbon Co Middle</t>
        </is>
      </c>
      <c r="B26" s="8" t="n">
        <v>16673</v>
      </c>
      <c r="C26" s="10" t="n">
        <v>590</v>
      </c>
      <c r="D26" s="30">
        <f>B26*C26/F$10</f>
        <v/>
      </c>
      <c r="E26" s="30">
        <f>D26-C26</f>
        <v/>
      </c>
    </row>
    <row r="27">
      <c r="A27" s="3" t="inlineStr">
        <is>
          <t>Bourbon Co High</t>
        </is>
      </c>
      <c r="B27" s="8" t="n">
        <v>17404</v>
      </c>
      <c r="C27" s="10" t="n">
        <v>766</v>
      </c>
      <c r="D27" s="30">
        <f>B27*C27/F$10</f>
        <v/>
      </c>
      <c r="E27" s="30">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25" t="inlineStr">
        <is>
          <t>School</t>
        </is>
      </c>
      <c r="B31" s="25" t="inlineStr">
        <is>
          <t>Fixed base</t>
        </is>
      </c>
      <c r="C31" s="25" t="inlineStr">
        <is>
          <t>N (SEEK only)</t>
        </is>
      </c>
      <c r="D31" s="25" t="inlineStr">
        <is>
          <t>N if fed counted</t>
        </is>
      </c>
      <c r="E31" s="25" t="inlineStr">
        <is>
          <t>Enrolled</t>
        </is>
      </c>
    </row>
    <row r="32">
      <c r="A32" s="3" t="inlineStr">
        <is>
          <t>North Middletown</t>
        </is>
      </c>
      <c r="B32" s="26">
        <f>Assumptions!B51+Assumptions!B52</f>
        <v/>
      </c>
      <c r="C32" s="30">
        <f>B32/(Assumptions!B6-Assumptions!B62)</f>
        <v/>
      </c>
      <c r="D32" s="30">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30">
        <f>B33/(Assumptions!B6-Assumptions!B62)</f>
        <v/>
      </c>
      <c r="D33" s="30">
        <f>B33/(Assumptions!B6+3380-Assumptions!B62)</f>
        <v/>
      </c>
      <c r="E33" s="10" t="n">
        <v>453</v>
      </c>
    </row>
    <row r="34">
      <c r="A34" s="3" t="inlineStr">
        <is>
          <t>Bourbon Central</t>
        </is>
      </c>
      <c r="B34" s="9">
        <f>Assumptions!B51+Assumptions!B52*Facility_Plans!F67/Facility_Plans!F69</f>
        <v/>
      </c>
      <c r="C34" s="30">
        <f>B34/(Assumptions!B6-Assumptions!B62)</f>
        <v/>
      </c>
      <c r="D34" s="30">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25" t="inlineStr">
        <is>
          <t>Year</t>
        </is>
      </c>
      <c r="B38" s="25" t="inlineStr">
        <is>
          <t>NMES</t>
        </is>
      </c>
      <c r="C38" s="25" t="inlineStr">
        <is>
          <t>NMES members</t>
        </is>
      </c>
      <c r="D38" s="25" t="inlineStr">
        <is>
          <t>BCES</t>
        </is>
      </c>
      <c r="E38" s="25" t="inlineStr">
        <is>
          <t>Cane Ridge</t>
        </is>
      </c>
      <c r="F38" s="25" t="inlineStr">
        <is>
          <t>NMES vs BCES</t>
        </is>
      </c>
    </row>
    <row r="39">
      <c r="A39" s="3" t="inlineStr">
        <is>
          <t>2011-12</t>
        </is>
      </c>
      <c r="B39" s="8" t="n">
        <v>9715</v>
      </c>
      <c r="C39" s="10" t="n">
        <v>177</v>
      </c>
      <c r="D39" s="8" t="n">
        <v>7351</v>
      </c>
      <c r="E39" s="8" t="n">
        <v>7740</v>
      </c>
      <c r="F39" s="44">
        <f>B39/D39-1</f>
        <v/>
      </c>
    </row>
    <row r="40">
      <c r="A40" s="3" t="inlineStr">
        <is>
          <t>2012-13</t>
        </is>
      </c>
      <c r="B40" s="8" t="n">
        <v>19635</v>
      </c>
      <c r="C40" s="10" t="n">
        <v>158</v>
      </c>
      <c r="D40" s="8" t="n">
        <v>10281</v>
      </c>
      <c r="E40" s="8" t="n">
        <v>11383</v>
      </c>
      <c r="F40" s="44">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4">
        <f>B41/D41-1</f>
        <v/>
      </c>
    </row>
    <row r="42">
      <c r="A42" s="3" t="inlineStr">
        <is>
          <t>2014-15</t>
        </is>
      </c>
      <c r="B42" s="8" t="n">
        <v>10999</v>
      </c>
      <c r="C42" s="10" t="n">
        <v>153</v>
      </c>
      <c r="D42" s="8" t="n">
        <v>8651</v>
      </c>
      <c r="E42" s="8" t="n">
        <v>9222</v>
      </c>
      <c r="F42" s="44">
        <f>B42/D42-1</f>
        <v/>
      </c>
    </row>
    <row r="43">
      <c r="A43" s="3" t="inlineStr">
        <is>
          <t>2015-16</t>
        </is>
      </c>
      <c r="B43" s="8" t="n">
        <v>11521</v>
      </c>
      <c r="C43" s="10" t="n">
        <v>149</v>
      </c>
      <c r="D43" s="8" t="n">
        <v>8705</v>
      </c>
      <c r="E43" s="8" t="n">
        <v>9655</v>
      </c>
      <c r="F43" s="44">
        <f>B43/D43-1</f>
        <v/>
      </c>
    </row>
    <row r="44">
      <c r="A44" s="3" t="inlineStr">
        <is>
          <t>2016-17</t>
        </is>
      </c>
      <c r="B44" s="8" t="n">
        <v>13260</v>
      </c>
      <c r="C44" s="10" t="n">
        <v>133</v>
      </c>
      <c r="D44" s="8" t="n">
        <v>9197</v>
      </c>
      <c r="E44" s="8" t="n">
        <v>9815</v>
      </c>
      <c r="F44" s="44">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25" t="inlineStr">
        <is>
          <t>School</t>
        </is>
      </c>
      <c r="B48" s="25" t="inlineStr">
        <is>
          <t>Students</t>
        </is>
      </c>
      <c r="C48" s="25" t="inlineStr">
        <is>
          <t>Reported $/student</t>
        </is>
      </c>
      <c r="D48" s="25" t="inlineStr">
        <is>
          <t>Curve prediction</t>
        </is>
      </c>
    </row>
    <row r="49">
      <c r="A49" s="3" t="inlineStr">
        <is>
          <t>Bourbon Central</t>
        </is>
      </c>
      <c r="B49" s="10" t="n">
        <v>595</v>
      </c>
      <c r="C49" s="8" t="n">
        <v>3360</v>
      </c>
      <c r="D49" s="9">
        <f>B$55+B$54*E49</f>
        <v/>
      </c>
      <c r="E49" s="45">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5">
        <f>1/B50</f>
        <v/>
      </c>
    </row>
    <row r="51">
      <c r="A51" s="3" t="inlineStr">
        <is>
          <t>North Middletown</t>
        </is>
      </c>
      <c r="B51" s="10" t="n">
        <v>193</v>
      </c>
      <c r="C51" s="8" t="n">
        <v>4414</v>
      </c>
      <c r="D51" s="9">
        <f>B$55+B$54*E51</f>
        <v/>
      </c>
      <c r="E51" s="45">
        <f>1/B51</f>
        <v/>
      </c>
    </row>
    <row r="52">
      <c r="A52" s="3" t="inlineStr">
        <is>
          <t>Millersburg</t>
        </is>
      </c>
      <c r="B52" s="10" t="n">
        <v>145</v>
      </c>
      <c r="C52" s="8" t="n">
        <v>5200</v>
      </c>
      <c r="D52" s="9">
        <f>B$55+B$54*E52</f>
        <v/>
      </c>
      <c r="E52" s="45">
        <f>1/B52</f>
        <v/>
      </c>
    </row>
    <row r="54">
      <c r="A54" s="3" t="inlineStr">
        <is>
          <t>Fixed base per building (least-squares slope on 1/N)</t>
        </is>
      </c>
      <c r="B54" s="19">
        <f>SLOPE(C49:C52,E49:E52)</f>
        <v/>
      </c>
    </row>
    <row r="55">
      <c r="A55" s="3" t="inlineStr">
        <is>
          <t>Variable cost per student (intercept)</t>
        </is>
      </c>
      <c r="B55" s="19">
        <f>INTERCEPT(C49:C52,E49:E52)</f>
        <v/>
      </c>
    </row>
    <row r="56">
      <c r="A56" s="3" t="inlineStr">
        <is>
          <t>Fit quality (R-squared)</t>
        </is>
      </c>
      <c r="B56" s="23">
        <f>RSQ(C49:C52,E49:E52)</f>
        <v/>
      </c>
    </row>
    <row r="58">
      <c r="A58" s="4" t="inlineStr">
        <is>
          <t>THE MILLERSBURG SYMMETRY: THE DISTRICT HAS RUN THIS EXPERIMENT</t>
        </is>
      </c>
    </row>
    <row r="59">
      <c r="A59" s="3" t="inlineStr">
        <is>
          <t>Millersburg premium over its receiving school, 2000-01 (per student x students)</t>
        </is>
      </c>
      <c r="B59" s="19">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19">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2026-08-17T11:35:38Z</dcterms:created>
  <dcterms:modified xmlns:dcterms="http://purl.org/dc/terms/" xmlns:xsi="http://www.w3.org/2001/XMLSchema-instance" xsi:type="dcterms:W3CDTF">2026-08-17T11:35:38Z</dcterms:modified>
</cp:coreProperties>
</file>