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Tax_History" sheetId="11" state="visible" r:id="rId11"/>
    <sheet name="Demographics" sheetId="12" state="visible" r:id="rId12"/>
    <sheet name="School_Data" sheetId="13" state="visible" r:id="rId13"/>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Fable 5,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 assumes building sold or repurposed</t>
        </is>
      </c>
    </row>
    <row r="53">
      <c r="A53" s="3" t="inlineStr">
        <is>
          <t>Teaching positions truly eliminated</t>
        </is>
      </c>
      <c r="B53" s="16" t="n">
        <v>3</v>
      </c>
      <c r="C53" s="2" t="inlineStr">
        <is>
          <t>Estimate — via attrition only</t>
        </is>
      </c>
    </row>
    <row r="54">
      <c r="A54" s="3" t="inlineStr">
        <is>
          <t>Added busing cost per year</t>
        </is>
      </c>
      <c r="B54" s="14" t="n">
        <v>137500</v>
      </c>
      <c r="C54" s="2" t="inlineStr">
        <is>
          <t>Estimate — midpoint of $75K-$200K</t>
        </is>
      </c>
    </row>
    <row r="55">
      <c r="A55" s="3" t="inlineStr">
        <is>
          <t>Students leaving the district on closure</t>
        </is>
      </c>
      <c r="B55" s="16" t="n">
        <v>10</v>
      </c>
      <c r="C55" s="2" t="inlineStr">
        <is>
          <t>Judgment call —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 capped at open seats in model</t>
        </is>
      </c>
    </row>
    <row r="62">
      <c r="A62" s="3" t="inlineStr">
        <is>
          <t>Variable cost per transfer student</t>
        </is>
      </c>
      <c r="B62" s="14" t="n">
        <v>400</v>
      </c>
      <c r="C62" s="2" t="inlineStr">
        <is>
          <t>Estimate —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2"/>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Estimates built from public geography (census counts, county land area, highway distances). The district's annual T-1 transportation report, zone map, and geocoded counts are the authoritative dataset; releasing them is a records ask.</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5" t="n">
        <v>0.36</v>
      </c>
      <c r="C9" s="2" t="inlineStr">
        <is>
          <t>Traced from the district's published attendance-zone view (southeast zone); approximate</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s>
  <sheetData>
    <row r="1">
      <c r="A1" s="1" t="inlineStr">
        <is>
          <t>Revenue and Cost Alternatives (no school closed)</t>
        </is>
      </c>
    </row>
    <row r="3">
      <c r="A3" s="17" t="inlineStr">
        <is>
          <t>Measure</t>
        </is>
      </c>
      <c r="B3" s="17" t="inlineStr">
        <is>
          <t>Low ($/yr)</t>
        </is>
      </c>
      <c r="C3" s="17" t="inlineStr">
        <is>
          <t>High ($/yr)</t>
        </is>
      </c>
      <c r="D3" s="17" t="inlineStr">
        <is>
          <t>Basis</t>
        </is>
      </c>
    </row>
    <row r="4">
      <c r="A4" s="3" t="inlineStr">
        <is>
          <t>4% property-tax adjustment (KRS 160.470)</t>
        </is>
      </c>
      <c r="B4" s="18">
        <f>Assumptions!B35*Assumptions!B36</f>
        <v/>
      </c>
      <c r="C4" s="8" t="n">
        <v>450000</v>
      </c>
      <c r="D4" s="2" t="inlineStr">
        <is>
          <t>Low = 4% of FY2025 GF property tax; high allows base growth</t>
        </is>
      </c>
    </row>
    <row r="5">
      <c r="A5" s="3" t="inlineStr">
        <is>
          <t>Improve delinquent-tax recovery (partial)</t>
        </is>
      </c>
      <c r="B5" s="8" t="n">
        <v>60000</v>
      </c>
      <c r="C5" s="8" t="n">
        <v>120000</v>
      </c>
      <c r="D5" s="2" t="inlineStr">
        <is>
          <t>25-50% of FY2025 delinquency of $239,126 (2.4% of certified yield)</t>
        </is>
      </c>
    </row>
    <row r="6">
      <c r="A6" s="3" t="inlineStr">
        <is>
          <t>Attendance recovery (+1-2% ADA)</t>
        </is>
      </c>
      <c r="B6" s="8" t="n">
        <v>100000</v>
      </c>
      <c r="C6" s="8" t="n">
        <v>200000</v>
      </c>
      <c r="D6" s="2" t="inlineStr">
        <is>
          <t>Approx. SEEK value per 1% of ADA</t>
        </is>
      </c>
    </row>
    <row r="7">
      <c r="A7" s="3" t="inlineStr">
        <is>
          <t>Attrition-based staffing alignment</t>
        </is>
      </c>
      <c r="B7" s="18">
        <f>Assumptions!B48*Assumptions!B41</f>
        <v/>
      </c>
      <c r="C7" s="8" t="n">
        <v>425000</v>
      </c>
      <c r="D7" s="2" t="inlineStr">
        <is>
          <t>Low = positions x loaded cost</t>
        </is>
      </c>
    </row>
    <row r="8">
      <c r="A8" s="3" t="inlineStr">
        <is>
          <t>Administrative restraint</t>
        </is>
      </c>
      <c r="B8" s="18">
        <f>Assumptions!B47*(Assumptions!B46-Assumptions!B45)</f>
        <v/>
      </c>
      <c r="C8" s="8" t="n">
        <v>450000</v>
      </c>
      <c r="D8" s="2" t="inlineStr">
        <is>
          <t>Low = rollback share of 2-yr district-admin growth</t>
        </is>
      </c>
    </row>
    <row r="9">
      <c r="A9" s="3" t="inlineStr">
        <is>
          <t>Transportation optimization</t>
        </is>
      </c>
      <c r="B9" s="18">
        <f>Assumptions!B42*Assumptions!B43</f>
        <v/>
      </c>
      <c r="C9" s="18">
        <f>Assumptions!B42*Assumptions!B44</f>
        <v/>
      </c>
      <c r="D9" s="2" t="inlineStr">
        <is>
          <t>5-10% of FY2025 transport expense</t>
        </is>
      </c>
    </row>
    <row r="10">
      <c r="A10" s="3" t="inlineStr">
        <is>
          <t>Medicaid billing, E-rate, meal reimbursements</t>
        </is>
      </c>
      <c r="B10" s="8" t="n">
        <v>100000</v>
      </c>
      <c r="C10" s="8" t="n">
        <v>250000</v>
      </c>
      <c r="D10" s="2" t="inlineStr">
        <is>
          <t>Typical under-collected federal reimbursements</t>
        </is>
      </c>
    </row>
    <row r="11">
      <c r="A11" s="3" t="inlineStr">
        <is>
          <t>Energy performance contracting</t>
        </is>
      </c>
      <c r="B11" s="8" t="n">
        <v>50000</v>
      </c>
      <c r="C11" s="8" t="n">
        <v>150000</v>
      </c>
      <c r="D11" s="2" t="inlineStr">
        <is>
          <t>10-25% of utilities; authorized by 702 KAR 4:160</t>
        </is>
      </c>
    </row>
    <row r="12">
      <c r="A12" s="3" t="inlineStr">
        <is>
          <t>Shared services with Paris Independent</t>
        </is>
      </c>
      <c r="B12" s="8" t="n">
        <v>100000</v>
      </c>
      <c r="C12" s="8" t="n">
        <v>300000</v>
      </c>
      <c r="D12" s="2" t="inlineStr">
        <is>
          <t>Transport, food service, back office</t>
        </is>
      </c>
    </row>
    <row r="13">
      <c r="A13" s="3" t="inlineStr">
        <is>
          <t>Fill NMES to capacity (rebalance + transfers, net)</t>
        </is>
      </c>
      <c r="B13" s="18">
        <f>Redistricting!B30</f>
        <v/>
      </c>
      <c r="C13" s="18">
        <f>Redistricting!B31</f>
        <v/>
      </c>
      <c r="D13" s="2" t="inlineStr">
        <is>
          <t>Boundary rebalancing and cross-county scenario, Redistricting tab</t>
        </is>
      </c>
    </row>
    <row r="14">
      <c r="A14" s="3" t="inlineStr">
        <is>
          <t>NMES multi-age reorganization</t>
        </is>
      </c>
      <c r="B14" s="8" t="n">
        <v>170000</v>
      </c>
      <c r="C14" s="8" t="n">
        <v>255000</v>
      </c>
      <c r="D14" s="2" t="inlineStr">
        <is>
          <t>Six or seven sections instead of nine, via attrition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29">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2026-07-20T01:13:55Z</dcterms:created>
  <dcterms:modified xsi:type="dcterms:W3CDTF">2026-07-20T01:13:55Z</dcterms:modified>
</cp:coreProperties>
</file>