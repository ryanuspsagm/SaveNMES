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Assumptions" sheetId="2" state="visible" r:id="rId2"/>
    <sheet xmlns:r="http://schemas.openxmlformats.org/officeDocument/2006/relationships" name="GF_Summary" sheetId="3" state="visible" r:id="rId3"/>
    <sheet xmlns:r="http://schemas.openxmlformats.org/officeDocument/2006/relationships" name="Closure_Model" sheetId="4" state="visible" r:id="rId4"/>
    <sheet xmlns:r="http://schemas.openxmlformats.org/officeDocument/2006/relationships" name="Growth_Model" sheetId="5" state="visible" r:id="rId5"/>
    <sheet xmlns:r="http://schemas.openxmlformats.org/officeDocument/2006/relationships" name="Redistricting" sheetId="6" state="visible" r:id="rId6"/>
    <sheet xmlns:r="http://schemas.openxmlformats.org/officeDocument/2006/relationships" name="Transport_Geo" sheetId="7" state="visible" r:id="rId7"/>
    <sheet xmlns:r="http://schemas.openxmlformats.org/officeDocument/2006/relationships" name="Alternatives" sheetId="8" state="visible" r:id="rId8"/>
    <sheet xmlns:r="http://schemas.openxmlformats.org/officeDocument/2006/relationships" name="Debt_Service" sheetId="9" state="visible" r:id="rId9"/>
    <sheet xmlns:r="http://schemas.openxmlformats.org/officeDocument/2006/relationships" name="Runway" sheetId="10" state="visible" r:id="rId10"/>
    <sheet xmlns:r="http://schemas.openxmlformats.org/officeDocument/2006/relationships" name="Scenarios" sheetId="11" state="visible" r:id="rId11"/>
    <sheet xmlns:r="http://schemas.openxmlformats.org/officeDocument/2006/relationships" name="Tax_History" sheetId="12" state="visible" r:id="rId12"/>
    <sheet xmlns:r="http://schemas.openxmlformats.org/officeDocument/2006/relationships" name="Demographics" sheetId="13" state="visible" r:id="rId13"/>
    <sheet xmlns:r="http://schemas.openxmlformats.org/officeDocument/2006/relationships" name="School_Data" sheetId="14" state="visible" r:id="rId14"/>
    <sheet xmlns:r="http://schemas.openxmlformats.org/officeDocument/2006/relationships" name="Facility_Plans" sheetId="15" state="visible" r:id="rId15"/>
    <sheet xmlns:r="http://schemas.openxmlformats.org/officeDocument/2006/relationships" name="KY_Closures" sheetId="16" state="visible" r:id="rId16"/>
    <sheet xmlns:r="http://schemas.openxmlformats.org/officeDocument/2006/relationships" name="School_Costs" sheetId="17" state="visible" r:id="rId17"/>
  </sheets>
  <definedNames/>
  <calcPr calcId="124519" fullCalcOnLoad="1"/>
</workbook>
</file>

<file path=xl/styles.xml><?xml version="1.0" encoding="utf-8"?>
<styleSheet xmlns="http://schemas.openxmlformats.org/spreadsheetml/2006/main">
  <numFmts count="10">
    <numFmt numFmtId="164" formatCode="$#,##0;($#,##0);&quot;-&quot;"/>
    <numFmt numFmtId="165" formatCode="#,##0;(#,##0);&quot;-&quot;"/>
    <numFmt numFmtId="166" formatCode="0.0%"/>
    <numFmt numFmtId="167" formatCode="0.0"/>
    <numFmt numFmtId="168" formatCode="0.000"/>
    <numFmt numFmtId="169" formatCode="+0.0%;-0.0%"/>
    <numFmt numFmtId="170" formatCode="&quot;$&quot;#,##0.00"/>
    <numFmt numFmtId="171" formatCode="+0.0;-0.0"/>
    <numFmt numFmtId="172" formatCode="+0%;-0%"/>
    <numFmt numFmtId="173" formatCode="0.000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color rgb="00FFFFFF"/>
      <sz val="11"/>
    </font>
    <font>
      <name val="Arial"/>
      <b val="1"/>
      <sz val="10"/>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0" fontId="7" fillId="3" borderId="0" pivotButton="0" quotePrefix="0" xfId="0"/>
    <xf numFmtId="164" fontId="6" fillId="0" borderId="0" pivotButton="0" quotePrefix="0" xfId="0"/>
    <xf numFmtId="166" fontId="3" fillId="0" borderId="0" pivotButton="0" quotePrefix="0" xfId="0"/>
    <xf numFmtId="167" fontId="3" fillId="0" borderId="0" pivotButton="0" quotePrefix="0" xfId="0"/>
    <xf numFmtId="0" fontId="2" fillId="0" borderId="0" applyAlignment="1" pivotButton="0" quotePrefix="0" xfId="0">
      <alignment vertical="top" wrapText="1"/>
    </xf>
    <xf numFmtId="0" fontId="8" fillId="0" borderId="0" pivotButton="0" quotePrefix="0" xfId="0"/>
    <xf numFmtId="164" fontId="8" fillId="0" borderId="0" pivotButton="0" quotePrefix="0" xfId="0"/>
    <xf numFmtId="164" fontId="8" fillId="0" borderId="1" pivotButton="0" quotePrefix="0" xfId="0"/>
    <xf numFmtId="165" fontId="6" fillId="0" borderId="0" pivotButton="0" quotePrefix="0" xfId="0"/>
    <xf numFmtId="165" fontId="8" fillId="0" borderId="0" pivotButton="0" quotePrefix="0" xfId="0"/>
    <xf numFmtId="1" fontId="3" fillId="0" borderId="0" pivotButton="0" quotePrefix="0" xfId="0"/>
    <xf numFmtId="2" fontId="5" fillId="2" borderId="0" pivotButton="0" quotePrefix="0" xfId="0"/>
    <xf numFmtId="167" fontId="5" fillId="0" borderId="0" pivotButton="0" quotePrefix="0" xfId="0"/>
    <xf numFmtId="2" fontId="3" fillId="0" borderId="0" pivotButton="0" quotePrefix="0" xfId="0"/>
    <xf numFmtId="164" fontId="3" fillId="0" borderId="1" pivotButton="0" quotePrefix="0" xfId="0"/>
    <xf numFmtId="1" fontId="5" fillId="0" borderId="0" pivotButton="0" quotePrefix="0" xfId="0"/>
    <xf numFmtId="169" fontId="8" fillId="0" borderId="0" pivotButton="0" quotePrefix="0" xfId="0"/>
    <xf numFmtId="170" fontId="3" fillId="0" borderId="0" pivotButton="0" quotePrefix="0" xfId="0"/>
    <xf numFmtId="171" fontId="3" fillId="0" borderId="0" pivotButton="0" quotePrefix="0" xfId="0"/>
    <xf numFmtId="9" fontId="5" fillId="0" borderId="0" pivotButton="0" quotePrefix="0" xfId="0"/>
    <xf numFmtId="171" fontId="8" fillId="0" borderId="0" pivotButton="0" quotePrefix="0" xfId="0"/>
    <xf numFmtId="167" fontId="7" fillId="3" borderId="0" pivotButton="0" quotePrefix="0" xfId="0"/>
    <xf numFmtId="166" fontId="8" fillId="0" borderId="0" pivotButton="0" quotePrefix="0" xfId="0"/>
    <xf numFmtId="168" fontId="5" fillId="0" borderId="0" pivotButton="0" quotePrefix="0" xfId="0"/>
    <xf numFmtId="168" fontId="8" fillId="0" borderId="0" pivotButton="0" quotePrefix="0" xfId="0"/>
    <xf numFmtId="167" fontId="8" fillId="0" borderId="0" pivotButton="0" quotePrefix="0" xfId="0"/>
    <xf numFmtId="172" fontId="3" fillId="0" borderId="0" pivotButton="0" quotePrefix="0" xfId="0"/>
    <xf numFmtId="173" fontId="3" fillId="0" borderId="0" pivotButton="0" quotePrefix="0" xfId="0"/>
    <xf numFmtId="168"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July 2026 report 'A Deep Dive into Bourbon County Schools' (Bourbon County, Kentucky)</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Multi-year school scores and NMES enrollment history: School_Data tab (backs report Figures 6, 7, and 11).</t>
        </is>
      </c>
    </row>
    <row r="20">
      <c r="A20" s="2" t="inlineStr">
        <is>
          <t xml:space="preserve">  County demographics and the full 1989-2025 NMES enrollment series: Demographics tab (backs Section 9 and Figure 14).</t>
        </is>
      </c>
    </row>
    <row r="21">
      <c r="A21" s="2" t="inlineStr">
        <is>
          <t xml:space="preserve">  Tax rates, fund split, delinquency check, and the 4% three-year path: Tax_History tab (backs Figure 18).</t>
        </is>
      </c>
    </row>
    <row r="22">
      <c r="A22" s="2" t="inlineStr">
        <is>
          <t xml:space="preserve">  Boundary rebalancing and fill-to-capacity scenario: Redistricting tab (backs the Section 9 worked example and Figure 15).</t>
        </is>
      </c>
    </row>
    <row r="23">
      <c r="A23" s="2" t="inlineStr">
        <is>
          <t xml:space="preserve">  Bonding capacity components and what closure can and cannot change: Debt_Service tab (backs Section 6).</t>
        </is>
      </c>
    </row>
    <row r="24">
      <c r="A24" s="2" t="inlineStr">
        <is>
          <t xml:space="preserve">  Student density, route-mile math, and busing cost scenarios: Transport_Geo tab (backs Section 9).</t>
        </is>
      </c>
    </row>
    <row r="25">
      <c r="A25" s="3" t="inlineStr"/>
    </row>
    <row r="26">
      <c r="A26" s="4" t="inlineStr">
        <is>
          <t>CAVEAT</t>
        </is>
      </c>
    </row>
    <row r="27">
      <c r="A27" s="3" t="inlineStr">
        <is>
          <t>Prepared by a former NMES King working alongside Claude, an AI research assistant from Anthropic. Built from public records and</t>
        </is>
      </c>
    </row>
    <row r="28">
      <c r="A28" s="3" t="inlineStr">
        <is>
          <t>Open Records Requests only. Estimates are labeled; every figure should be re-verified against the cited primary sources before</t>
        </is>
      </c>
    </row>
    <row r="29">
      <c r="A29" s="3" t="inlineStr">
        <is>
          <t>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9"/>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School administration avoided (principal, secretary, extended day)</t>
        </is>
      </c>
      <c r="B51" s="14" t="n">
        <v>131724</v>
      </c>
      <c r="C51" s="2" t="inlineStr">
        <is>
          <t>MEASURED v3.9: district FY2026 working budget, location 090, General Fund program 077, excl on-behalf. Was a $175,000 estimate through v3.8.</t>
        </is>
      </c>
    </row>
    <row r="52">
      <c r="A52" s="3" t="inlineStr">
        <is>
          <t>Plant operations avoided (custodial + utilities, sanitation, water)</t>
        </is>
      </c>
      <c r="B52" s="14" t="n">
        <v>96107</v>
      </c>
      <c r="C52" s="2" t="inlineStr">
        <is>
          <t>MEASURED v3.9: same source, custodial program 087 $37,333 + plant program 987 $58,774. B51+B52 = $227,831, the grid's mothballed case. Was a $115,000 estimate through v3.8.</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row r="69">
      <c r="A69" s="3" t="inlineStr">
        <is>
          <t>GF-borne loaded cost per certified position (v3)</t>
        </is>
      </c>
      <c r="B69" s="14" t="n">
        <v>60000</v>
      </c>
      <c r="C69" s="2" t="inlineStr">
        <is>
          <t>Published salary schedule $41,718-$71,447; state pays TRS/KEHP on-behalf; GF keeps salary + ~5%. Range $50K-$75K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17" t="inlineStr"/>
      <c r="B3" s="17" t="inlineStr">
        <is>
          <t>FY2023</t>
        </is>
      </c>
      <c r="C3" s="17" t="inlineStr">
        <is>
          <t>FY2024</t>
        </is>
      </c>
      <c r="D3" s="17" t="inlineStr">
        <is>
          <t>FY2025</t>
        </is>
      </c>
    </row>
    <row r="4">
      <c r="A4" s="3" t="inlineStr">
        <is>
          <t>Revenues before transfers</t>
        </is>
      </c>
      <c r="B4" s="18">
        <f>Assumptions!B19</f>
        <v/>
      </c>
      <c r="C4" s="18">
        <f>Assumptions!B20</f>
        <v/>
      </c>
      <c r="D4" s="18">
        <f>Assumptions!B21</f>
        <v/>
      </c>
    </row>
    <row r="5">
      <c r="A5" s="3" t="inlineStr">
        <is>
          <t>Expenditures before transfers</t>
        </is>
      </c>
      <c r="B5" s="18">
        <f>Assumptions!B22</f>
        <v/>
      </c>
      <c r="C5" s="18">
        <f>Assumptions!B23</f>
        <v/>
      </c>
      <c r="D5" s="18">
        <f>Assumptions!B24</f>
        <v/>
      </c>
    </row>
    <row r="6">
      <c r="A6" s="3" t="inlineStr">
        <is>
          <t>Operating result before transfers</t>
        </is>
      </c>
      <c r="B6" s="9">
        <f>B4-B5</f>
        <v/>
      </c>
      <c r="C6" s="9">
        <f>C4-C5</f>
        <v/>
      </c>
      <c r="D6" s="9">
        <f>D4-D5</f>
        <v/>
      </c>
    </row>
    <row r="7">
      <c r="A7" s="3" t="inlineStr">
        <is>
          <t>Net transfers &amp; other sources</t>
        </is>
      </c>
      <c r="C7" s="18">
        <f>Assumptions!B25</f>
        <v/>
      </c>
      <c r="D7" s="18">
        <f>Assumptions!B26</f>
        <v/>
      </c>
    </row>
    <row r="8">
      <c r="A8" s="3" t="inlineStr">
        <is>
          <t>Change in fund balance</t>
        </is>
      </c>
      <c r="C8" s="9">
        <f>C6+C7</f>
        <v/>
      </c>
      <c r="D8" s="9">
        <f>D6+D7</f>
        <v/>
      </c>
    </row>
    <row r="9">
      <c r="A9" s="3" t="inlineStr">
        <is>
          <t>Ending fund balance</t>
        </is>
      </c>
      <c r="B9" s="18">
        <f>Assumptions!B27</f>
        <v/>
      </c>
      <c r="C9" s="18">
        <f>Assumptions!B28</f>
        <v/>
      </c>
      <c r="D9" s="18">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9">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0">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9"/>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18">
        <f>Assumptions!B14*Assumptions!B11</f>
        <v/>
      </c>
    </row>
    <row r="7">
      <c r="A7" s="3" t="inlineStr">
        <is>
          <t>State/local share of site spending</t>
        </is>
      </c>
      <c r="B7" s="18">
        <f>Assumptions!B15*Assumptions!B11</f>
        <v/>
      </c>
    </row>
    <row r="9">
      <c r="A9" s="4" t="inlineStr">
        <is>
          <t>RECURRING SAVINGS (costs that truly disappear)</t>
        </is>
      </c>
    </row>
    <row r="10">
      <c r="A10" s="3" t="inlineStr">
        <is>
          <t>Principal &amp; office</t>
        </is>
      </c>
      <c r="B10" s="18">
        <f>Assumptions!B51</f>
        <v/>
      </c>
    </row>
    <row r="11">
      <c r="A11" s="3" t="inlineStr">
        <is>
          <t>Plant, utilities, insurance (net of carrying cost)</t>
        </is>
      </c>
      <c r="B11" s="18">
        <f>Assumptions!B52</f>
        <v/>
      </c>
    </row>
    <row r="12">
      <c r="A12" s="3" t="inlineStr">
        <is>
          <t>Teaching positions eliminated (via attrition, GF-borne cost)</t>
        </is>
      </c>
      <c r="B12" s="18">
        <f>Assumptions!B53*Assumptions!B69</f>
        <v/>
      </c>
      <c r="C12" s="21" t="inlineStr">
        <is>
          <t>v3: GF-borne $60K per position (state pays TRS/KEHP on-behalf); prior versions used the $85K all-in figure here</t>
        </is>
      </c>
    </row>
    <row r="13">
      <c r="A13" s="22" t="inlineStr">
        <is>
          <t>Gross avoidable cost</t>
        </is>
      </c>
      <c r="B13" s="23">
        <f>SUM(B10:B12)</f>
        <v/>
      </c>
    </row>
    <row r="15">
      <c r="A15" s="4" t="inlineStr">
        <is>
          <t>RECURRING OFFSETS (new costs and lost revenue)</t>
        </is>
      </c>
    </row>
    <row r="16">
      <c r="A16" s="3" t="inlineStr">
        <is>
          <t>Added busing</t>
        </is>
      </c>
      <c r="B16" s="18">
        <f>Assumptions!B54</f>
        <v/>
      </c>
    </row>
    <row r="17">
      <c r="A17" s="3" t="inlineStr">
        <is>
          <t>SEEK revenue lost to departing students (FY2027 base)</t>
        </is>
      </c>
      <c r="B17" s="18">
        <f>Assumptions!B55*Assumptions!B6</f>
        <v/>
      </c>
    </row>
    <row r="18">
      <c r="A18" s="22" t="inlineStr">
        <is>
          <t>Total offsets</t>
        </is>
      </c>
      <c r="B18" s="23">
        <f>SUM(B16:B17)</f>
        <v/>
      </c>
    </row>
    <row r="20">
      <c r="A20" s="22" t="inlineStr">
        <is>
          <t>NET RECURRING GENERAL FUND SAVING</t>
        </is>
      </c>
      <c r="B20" s="24">
        <f>B13-B18</f>
        <v/>
      </c>
    </row>
    <row r="21">
      <c r="A21" s="3" t="inlineStr">
        <is>
          <t>Share of the structural deficit ($2.65M) | of the reserve drawdown ($1.15M)</t>
        </is>
      </c>
      <c r="B21" s="19">
        <f>B20/(Assumptions!B24-Assumptions!B21)</f>
        <v/>
      </c>
      <c r="C21" s="19">
        <f>B20/GF_Summary!D16</f>
        <v/>
      </c>
    </row>
    <row r="22">
      <c r="A22" s="3" t="inlineStr">
        <is>
          <t>One-time transition cost (year one)</t>
        </is>
      </c>
      <c r="B22" s="18">
        <f>Assumptions!B56</f>
        <v/>
      </c>
    </row>
    <row r="24">
      <c r="A24" s="4" t="inlineStr">
        <is>
          <t>SENSITIVITY: STUDENTS LEAVING THE DISTRICT</t>
        </is>
      </c>
    </row>
    <row r="25">
      <c r="A25" s="22" t="inlineStr">
        <is>
          <t>Students leaving</t>
        </is>
      </c>
      <c r="B25" s="22"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V3 CORRECTION: WHAT A POSITION ACTUALLY COSTS THE GENERAL FUND</t>
        </is>
      </c>
    </row>
    <row r="34">
      <c r="A34" s="3" t="inlineStr">
        <is>
          <t>All-in cost per position (salary + state-paid on-behalf; filing basis)</t>
        </is>
      </c>
      <c r="B34" s="18">
        <f>Assumptions!B41</f>
        <v/>
      </c>
      <c r="C34" s="21" t="inlineStr">
        <is>
          <t>Correct for KDE per-pupil comparisons; the district books $6.94M of on-behalf in FY2026</t>
        </is>
      </c>
    </row>
    <row r="35">
      <c r="A35" s="3" t="inlineStr">
        <is>
          <t>GF-borne cost per position (salary + ~5%)</t>
        </is>
      </c>
      <c r="B35" s="18">
        <f>Assumptions!B69</f>
        <v/>
      </c>
      <c r="C35" s="21" t="inlineStr">
        <is>
          <t>Published schedule: Rank III $41,718 (yr 0) to Rank I $71,447 (yr 29-30). The state pays TRS and KEHP on behalf of districts; eliminating a GF position saves the GF only $50K-$75K</t>
        </is>
      </c>
    </row>
    <row r="37">
      <c r="A37" s="4" t="inlineStr">
        <is>
          <t>V4.2 TWO-TAILED SENSITIVITY: SEVEN LEVERS, 5,832 COMBINATIONS (backs Figure 7)</t>
        </is>
      </c>
    </row>
    <row r="38">
      <c r="A38" s="17" t="inlineStr">
        <is>
          <t>Lever (low / central / high)</t>
        </is>
      </c>
      <c r="B38" s="17" t="inlineStr">
        <is>
          <t>Low</t>
        </is>
      </c>
      <c r="C38" s="17" t="inlineStr">
        <is>
          <t>Central</t>
        </is>
      </c>
      <c r="D38" s="17" t="inlineStr">
        <is>
          <t>High</t>
        </is>
      </c>
      <c r="E38" s="17" t="inlineStr">
        <is>
          <t>Source</t>
        </is>
      </c>
    </row>
    <row r="39">
      <c r="A39" s="3" t="inlineStr">
        <is>
          <t>Non-salary capture (their worksheet, + insurance at the full stop)</t>
        </is>
      </c>
      <c r="B39" s="8" t="n">
        <v>53519</v>
      </c>
      <c r="C39" s="8" t="n">
        <v>80279</v>
      </c>
      <c r="D39" s="8" t="n">
        <v>127039</v>
      </c>
      <c r="E39" s="2" t="inlineStr">
        <is>
          <t>District Response Appendix A: $107,039 of building-bound lines (utilities, telecom, maintenance, custodial supplies) captured at 50/75/100 percent, plus its ~$20,000 insurance figure at the full stop. The worksheet's other $40,693 (supplies, books, field trips, printing = $318/student vs our measured $331) travels with the students.</t>
        </is>
      </c>
    </row>
    <row r="40">
      <c r="A40" s="3" t="inlineStr">
        <is>
          <t>Fixed positions cut over time (school admin + custodial + library)</t>
        </is>
      </c>
      <c r="B40" s="10" t="n">
        <v>0</v>
      </c>
      <c r="C40" s="8" t="n">
        <v>109077</v>
      </c>
      <c r="D40" s="8" t="n">
        <v>218154</v>
      </c>
      <c r="E40" s="2" t="inlineStr">
        <is>
          <t>Measured lines: $131,724 + $37,333 + $49,097 = $218,154 (the district's own A.1 prices the same four roles at $209,700, within 4 percent, and states all current staff are retained in year one; the full-cut leg is an attrition end state)</t>
        </is>
      </c>
    </row>
    <row r="41">
      <c r="A41" s="3" t="inlineStr">
        <is>
          <t>Teachers cut (grid legs 0/1/2/3) x $54,479.40 each</t>
        </is>
      </c>
      <c r="B41" s="10" t="n">
        <v>0</v>
      </c>
      <c r="C41" s="10" t="n">
        <v>2</v>
      </c>
      <c r="D41" s="10" t="n">
        <v>3</v>
      </c>
      <c r="E41" s="2" t="inlineStr">
        <is>
          <t>Priced at the district's OWN fully loaded 0-years-experience figure, $54,479.40 (Response Appendix A.1: 'Elementary Teachers: 2, $108,958.80'). The top leg credits 3 because Appendix B's own classroom count eliminates three homerooms net.</t>
        </is>
      </c>
    </row>
    <row r="42">
      <c r="A42" s="3" t="inlineStr">
        <is>
          <t>Added busing</t>
        </is>
      </c>
      <c r="B42" s="8" t="n">
        <v>20000</v>
      </c>
      <c r="C42" s="8" t="n">
        <v>63000</v>
      </c>
      <c r="D42" s="8" t="n">
        <v>190000</v>
      </c>
      <c r="E42" s="2" t="inlineStr">
        <is>
          <t>Derived bottom-up with uncertainty: 2-4 zone buses terminating in Paris (~9-11 road miles farther one-way), 2 loaded + 0-2 deadhead legs daily, 175 days, $3.25-$4.75/mile (KDE/NAPT band), high stop adds one $45,000 route split. Per zone student $160/$492/$1,495 vs the $1,032 district average. The district's routing data was requested and answered N/A.</t>
        </is>
      </c>
    </row>
    <row r="43">
      <c r="A43" s="3" t="inlineStr">
        <is>
          <t>Students leaving district (grid legs 0/13/26/38/51/64)</t>
        </is>
      </c>
      <c r="B43" s="10" t="n">
        <v>0</v>
      </c>
      <c r="C43" s="10" t="n">
        <v>26</v>
      </c>
      <c r="D43" s="10" t="n">
        <v>64</v>
      </c>
      <c r="E43" s="2" t="inlineStr">
        <is>
          <t>0 to 50 percent of 128, x ($4,626 SEEK base + the add-ons lever); exits free and funded under HB 563, homeschool and statewide virtual academy growing. CONSERVATIVE: this is the year-one wave only; if the same share of each entering class keeps leaving, the missing students more than double (x13/6) once every grade K-12 is short</t>
        </is>
      </c>
    </row>
    <row r="44">
      <c r="A44" s="3" t="inlineStr">
        <is>
          <t>SEEK add-ons lost per leaver</t>
        </is>
      </c>
      <c r="B44" s="10" t="n">
        <v>0</v>
      </c>
      <c r="C44" s="8" t="n">
        <v>500</v>
      </c>
      <c r="D44" s="8" t="n">
        <v>1000</v>
      </c>
      <c r="E44" s="2" t="inlineStr">
        <is>
          <t>At-risk weight (15% of base on a ~72% FRL school), exceptional-child weights, transportation component, $100 capital outlay</t>
        </is>
      </c>
    </row>
    <row r="45">
      <c r="A45" s="3" t="inlineStr">
        <is>
          <t>Property-value loss (zone tax base)</t>
        </is>
      </c>
      <c r="B45" s="10" t="n">
        <v>0</v>
      </c>
      <c r="C45" s="8" t="n">
        <v>47500</v>
      </c>
      <c r="D45" s="8" t="n">
        <v>95000</v>
      </c>
      <c r="E45" s="2" t="inlineStr">
        <is>
          <t>Roughly 0-10 percent of an estimated zone base; kept as foregone revenue because the board's rate practice does not raise rates to recapture zone valuation losses; PVA records ask pending</t>
        </is>
      </c>
    </row>
    <row r="47">
      <c r="A47" s="3" t="inlineStr">
        <is>
          <t>Central case: net yearly effect</t>
        </is>
      </c>
      <c r="B47" s="23">
        <f>C39+C40+C41*54479.4-C42-C43*(Assumptions!B6+C44)-C45</f>
        <v/>
      </c>
      <c r="C47" s="2" t="inlineStr">
        <is>
          <t>$54,539: about 2.1 percent of the structural deficit</t>
        </is>
      </c>
    </row>
    <row r="48">
      <c r="A48" s="3" t="inlineStr">
        <is>
          <t>Unfavorable tail (all levers adverse)</t>
        </is>
      </c>
      <c r="B48" s="9">
        <f>B39+B40+B41*54479.4-D42-D43*(Assumptions!B6+D44)-D45</f>
        <v/>
      </c>
      <c r="C48" s="2" t="inlineStr">
        <is>
          <t>-$591,545 a year: the closure loses money</t>
        </is>
      </c>
    </row>
    <row r="49">
      <c r="A49" s="3" t="inlineStr">
        <is>
          <t>Favorable tail (all levers favorable)</t>
        </is>
      </c>
      <c r="B49" s="9">
        <f>D39+D40+D41*54479.4-B42-B43*(Assumptions!B6+B44)-B45</f>
        <v/>
      </c>
      <c r="C49" s="2" t="inlineStr">
        <is>
          <t>+$488,631 a year: the district's fullest documented case, still below the plan's $800K-$1M requirement</t>
        </is>
      </c>
    </row>
    <row r="50">
      <c r="A50" s="21" t="inlineStr">
        <is>
          <t>Distribution of all 5,832 combinations, equal weights, enumerated by build/closure_grid.py: capture, fixed-position, add-ons, property and busing levers take three values each, teachers four (0/1/2/3) and leavers six (0/13/26/38/51/64): 3^5 x 4 x 6 = 5,832. Median -$21,971 (the median scenario LOSES money); middle half -$148,790 to +$102,067; 55 percent of scenarios negative; range -$591,545 to +$488,631. One-time transition costs $100K-$300K in year one are additional. REBUILT IN v4.2 on the district's own 48-page Response to the 10 Questions (archived build/response_to_the_10_questions.pdf): the capture lever uses its Appendix A worksheet, every staffing position is priced at its own fully loaded $54,479.40 (Appendix A.1), the teacher top leg follows its own Appendix B classroom count, and the leakage lever runs to 50 percent. The v3.9 grid (2,916 scenarios, median +$21,571, 45 percent negative) is retained in the version history.</t>
        </is>
      </c>
    </row>
    <row r="52">
      <c r="A52" s="4" t="inlineStr">
        <is>
          <t>HOSTILE PAPER CASE, PUBLISHED WITH ITS REFUTATION</t>
        </is>
      </c>
    </row>
    <row r="53">
      <c r="A53" s="3" t="inlineStr">
        <is>
          <t>Every absorbed student priced at the empirical $9,848 marginal</t>
        </is>
      </c>
      <c r="B53" s="9">
        <f>Assumptions!B14*Assumptions!B11-128*Redistricting!B111-137500-10*Assumptions!B6</f>
        <v/>
      </c>
      <c r="C53" s="21" t="inlineStr">
        <is>
          <t>About $1.03M on paper. But it requires Cane Ridge at 525 students against its approved 422 rating and Bourbon Central at 555 against 521: exactly the overcrowding the $14M renovation exists to cure. The savings pre-spend the bond.</t>
        </is>
      </c>
    </row>
    <row r="55">
      <c r="A55" s="4" t="inlineStr">
        <is>
          <t>MILLERSBURG, 2007: THE COUNTY'S OWN PRECEDENT (backs Figure 8)</t>
        </is>
      </c>
    </row>
    <row r="56">
      <c r="A56" s="3" t="inlineStr">
        <is>
          <t>Millersburg Elementary final enrollment (fall 2005; last operated SY 2005-06, closed status in the 2006-07 federal CCD file; distinct from the private military institute, which closed permanently July 2006)</t>
        </is>
      </c>
      <c r="B56" s="10" t="n">
        <v>119</v>
      </c>
      <c r="C56" s="21" t="inlineStr">
        <is>
          <t>NCES CCD; series 153-133-145-139-137-127-129-119; closed 2007; students to Cane Ridge (2007 addition)</t>
        </is>
      </c>
    </row>
    <row r="57">
      <c r="A57" s="3" t="inlineStr">
        <is>
          <t>Millersburg population 1980/1990/2000/2010/2020</t>
        </is>
      </c>
      <c r="B57" s="2" t="inlineStr">
        <is>
          <t>987 / 937 / 842 / 792 / 747</t>
        </is>
      </c>
      <c r="C57" s="21" t="inlineStr">
        <is>
          <t>Decennial census; down 11% from 2000 while the county grew 4.6% (19,360 to 20,252)</t>
        </is>
      </c>
    </row>
    <row r="58">
      <c r="A58" s="3" t="inlineStr">
        <is>
          <t>Town-budget blow from the 2013 Joy Global closure</t>
        </is>
      </c>
      <c r="B58" s="8" t="n">
        <v>100000</v>
      </c>
      <c r="C58" s="21" t="inlineStr">
        <is>
          <t>Community Ventures account: 197 jobs lost; $100K/yr payroll tax, half the town budget</t>
        </is>
      </c>
    </row>
    <row r="59">
      <c r="A59" s="21" t="inlineStr">
        <is>
          <t>Records asks: the 2006 closure's savings analysis and realized savings; the Millersburg Elementary building's deed, sale price, and current condition; PVA assessed-value history Millersburg vs county.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5"/>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t>
        </is>
      </c>
    </row>
    <row r="2">
      <c r="A2" s="2" t="inlineStr">
        <is>
          <t>SEEK funding follows nonresident students since July 2022; no agreement from the home district is required.</t>
        </is>
      </c>
    </row>
    <row r="4">
      <c r="A4" s="17" t="inlineStr"/>
      <c r="B4" s="17" t="inlineStr">
        <is>
          <t>FY2027</t>
        </is>
      </c>
      <c r="C4" s="17" t="inlineStr">
        <is>
          <t>FY2028</t>
        </is>
      </c>
      <c r="D4" s="17" t="inlineStr">
        <is>
          <t>FY2029</t>
        </is>
      </c>
    </row>
    <row r="5">
      <c r="A5" s="3" t="inlineStr">
        <is>
          <t>Transfer students (scenario)</t>
        </is>
      </c>
      <c r="B5" s="25">
        <f>Assumptions!B59</f>
        <v/>
      </c>
      <c r="C5" s="25">
        <f>Assumptions!B60</f>
        <v/>
      </c>
      <c r="D5" s="25">
        <f>Assumptions!B61</f>
        <v/>
      </c>
    </row>
    <row r="6">
      <c r="A6" s="3" t="inlineStr">
        <is>
          <t>Enrolled (capped at open seats)</t>
        </is>
      </c>
      <c r="B6" s="11">
        <f>MIN(B5,Assumptions!$B$13)</f>
        <v/>
      </c>
      <c r="C6" s="11">
        <f>MIN(C5,Assumptions!$B$13)</f>
        <v/>
      </c>
      <c r="D6" s="11">
        <f>MIN(D5,Assumptions!$B$13)</f>
        <v/>
      </c>
    </row>
    <row r="7">
      <c r="A7" s="3" t="inlineStr">
        <is>
          <t>SEEK base per pupil</t>
        </is>
      </c>
      <c r="B7" s="18">
        <f>Assumptions!B6</f>
        <v/>
      </c>
      <c r="C7" s="18">
        <f>Assumptions!B7</f>
        <v/>
      </c>
      <c r="D7" s="18">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IF(B6&gt;Assumptions!$B$63,Assumptions!$B$41,0)</f>
        <v/>
      </c>
      <c r="C10" s="9">
        <f>IF(C6&gt;Assumptions!$B$63,Assumptions!$B$41,0)</f>
        <v/>
      </c>
      <c r="D10" s="9">
        <f>IF(D6&gt;Assumptions!$B$63,Assumptions!$B$41,0)</f>
        <v/>
      </c>
    </row>
    <row r="11">
      <c r="A11" s="22" t="inlineStr">
        <is>
          <t>Net new recurring revenue</t>
        </is>
      </c>
      <c r="B11" s="24">
        <f>B8-B9-B10</f>
        <v/>
      </c>
      <c r="C11" s="24">
        <f>C8-C9-C10</f>
        <v/>
      </c>
      <c r="D11" s="24">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35"/>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district holds the geocoded student counts and routing data a true optimization needs; releasing them is a records ask in the report.</t>
        </is>
      </c>
    </row>
    <row r="4">
      <c r="A4" s="4" t="inlineStr">
        <is>
          <t>CURRENT ELEMENTARY MAP (2024-25 counts as cited in report Sections 4 and 9)</t>
        </is>
      </c>
    </row>
    <row r="5">
      <c r="A5" s="3" t="inlineStr">
        <is>
          <t>NMES enrollment</t>
        </is>
      </c>
      <c r="B5" s="25">
        <f>Assumptions!B11</f>
        <v/>
      </c>
    </row>
    <row r="6">
      <c r="A6" s="3" t="inlineStr">
        <is>
          <t>NMES rated capacity</t>
        </is>
      </c>
      <c r="B6" s="25">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homerooms in use</t>
        </is>
      </c>
      <c r="B20" s="10" t="n">
        <v>6</v>
      </c>
      <c r="C20" s="2" t="inlineStr">
        <is>
          <t>One per grade K-5; NCES lists 9.41 classroom-teacher FTE, which also counts Title I, special ed and part-time certified</t>
        </is>
      </c>
    </row>
    <row r="21">
      <c r="A21" s="3" t="inlineStr">
        <is>
          <t>Average class size today</t>
        </is>
      </c>
      <c r="B21" s="20">
        <f>B5/B20</f>
        <v/>
      </c>
    </row>
    <row r="22">
      <c r="A22" s="3" t="inlineStr">
        <is>
          <t>Average class size at capacity</t>
        </is>
      </c>
      <c r="B22" s="20">
        <f>B14/B20</f>
        <v/>
      </c>
    </row>
    <row r="23">
      <c r="A23" s="21" t="inlineStr">
        <is>
          <t>Statutory caps (KRS 157.360): 24 in K-3, 28 in grade 4, 29 in grades 5-6. At an even mix, 174 students exceed the single-section caps in most grades, so the lever below prices new NMES sections honestly (v3.8 correction; earlier versions omitted this charge).</t>
        </is>
      </c>
    </row>
    <row r="24">
      <c r="A24" s="3" t="inlineStr">
        <is>
          <t>New sections needed at NMES under the caps (0 if the rezone is drawn grade-by-grade; 2 at a fully even mix)</t>
        </is>
      </c>
      <c r="B24" s="16" t="n">
        <v>1</v>
      </c>
    </row>
    <row r="25">
      <c r="A25" s="4" t="inlineStr">
        <is>
          <t>RECURRING DOLLARS</t>
        </is>
      </c>
    </row>
    <row r="26">
      <c r="A26" s="3" t="inlineStr">
        <is>
          <t>New SEEK revenue from cross-county transfers (FY2027 base)</t>
        </is>
      </c>
      <c r="B26" s="18">
        <f>B13*Assumptions!B6</f>
        <v/>
      </c>
    </row>
    <row r="27">
      <c r="A27" s="3" t="inlineStr">
        <is>
          <t>Variable cost of all added students</t>
        </is>
      </c>
      <c r="B27" s="18">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2" t="inlineStr">
        <is>
          <t>Net recurring benefit, low (avoided and added sections both priced at the GF-borne $60K central; v3.8 subtracts the NMES additions)</t>
        </is>
      </c>
      <c r="B30" s="24">
        <f>B26-B27+(B28-B24)*Assumptions!B69</f>
        <v/>
      </c>
    </row>
    <row r="31">
      <c r="A31" s="22" t="inlineStr">
        <is>
          <t>Net recurring benefit, high (two avoided sections, same NMES debit)</t>
        </is>
      </c>
      <c r="B31" s="23">
        <f>B26-B27+(B29-B24)*Assumptions!B69</f>
        <v/>
      </c>
    </row>
    <row r="32">
      <c r="A32" s="21" t="inlineStr">
        <is>
          <t>Corner cases for the record: two added and none avoided gives about -$64,000; none added and two avoided gives about +$176,000. The published range uses the levers above.</t>
        </is>
      </c>
    </row>
    <row r="33">
      <c r="A33" s="4" t="inlineStr">
        <is>
          <t>PER-STUDENT ARITHMETIC (the number the closure argument leans on)</t>
        </is>
      </c>
    </row>
    <row r="34">
      <c r="A34" s="3" t="inlineStr">
        <is>
          <t>NMES site spending today</t>
        </is>
      </c>
      <c r="B34" s="18">
        <f>Assumptions!B14*Assumptions!B11</f>
        <v/>
      </c>
    </row>
    <row r="35">
      <c r="A35" s="3" t="inlineStr">
        <is>
          <t>Per student today</t>
        </is>
      </c>
      <c r="B35" s="18">
        <f>Assumptions!B14</f>
        <v/>
      </c>
    </row>
    <row r="36">
      <c r="A36" s="3" t="inlineStr">
        <is>
          <t>Per student at capacity (site cost plus variable cost, over 174)</t>
        </is>
      </c>
      <c r="B36" s="9">
        <f>(B34+(B12+B13)*Assumptions!B62)/B14</f>
        <v/>
      </c>
    </row>
    <row r="37">
      <c r="A37" s="3" t="inlineStr">
        <is>
          <t>Change</t>
        </is>
      </c>
      <c r="B37" s="19">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grade-by-grade capacities at Bourbon Central and Cane Ridge are a records ask (report Question 3).</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row r="45">
      <c r="A45" s="4" t="inlineStr">
        <is>
          <t>FILLED-TO-CAPACITY PER-PUPIL COST VS THE RECEIVING SCHOOLS (KDE 2023-24 filings)</t>
        </is>
      </c>
    </row>
    <row r="46">
      <c r="A46" s="3" t="inlineStr">
        <is>
          <t>Bourbon Central per pupil today</t>
        </is>
      </c>
      <c r="B46" s="8" t="n">
        <v>18131</v>
      </c>
      <c r="C46" s="2" t="inlineStr">
        <is>
          <t>District's own KDE school-level filing, 2023-24</t>
        </is>
      </c>
    </row>
    <row r="47">
      <c r="A47" s="3" t="inlineStr">
        <is>
          <t>Cane Ridge per pupil today</t>
        </is>
      </c>
      <c r="B47" s="8" t="n">
        <v>18670</v>
      </c>
      <c r="C47" s="2" t="inlineStr">
        <is>
          <t>Same filing; Cane Ridge runs 31 students over its rated capacity</t>
        </is>
      </c>
    </row>
    <row r="48">
      <c r="A48" s="3" t="inlineStr">
        <is>
          <t>NMES per pupil today</t>
        </is>
      </c>
      <c r="B48" s="18">
        <f>Assumptions!B14</f>
        <v/>
      </c>
    </row>
    <row r="49">
      <c r="A49" s="3" t="inlineStr">
        <is>
          <t>NMES filled to 174 (state-approved rating), no added teachers</t>
        </is>
      </c>
      <c r="B49" s="9">
        <f>(B34+(B6-B5)*Assumptions!B62)/B6</f>
        <v/>
      </c>
      <c r="C49" s="21" t="inlineStr">
        <is>
          <t>Six existing homerooms hold 153 at the district's own Appendix B caps (24 K-3, 28 fourth, 29 fifth; 25 seats open today); filling to 174 needs one added section, priced in the row below</t>
        </is>
      </c>
    </row>
    <row r="50">
      <c r="A50" s="3" t="inlineStr">
        <is>
          <t>NMES filled to 174, conservative (two teachers added anyway)</t>
        </is>
      </c>
      <c r="B50" s="9">
        <f>(B34+2*Assumptions!B41+(B6-B5)*Assumptions!B62)/B6</f>
        <v/>
      </c>
      <c r="C50" s="21" t="inlineStr">
        <is>
          <t>Adds two loaded certified positions even though class sizes do not require them</t>
        </is>
      </c>
    </row>
    <row r="51">
      <c r="A51" s="3" t="inlineStr">
        <is>
          <t>NMES filled to 154 (2026 draft plan rating), no added teachers</t>
        </is>
      </c>
      <c r="B51" s="9">
        <f>(B34+(154-B5)*Assumptions!B62)/154</f>
        <v/>
      </c>
      <c r="C51" s="21" t="inlineStr">
        <is>
          <t>Same math at the draft plan's lower rating; class sizes average 17.1</t>
        </is>
      </c>
    </row>
    <row r="52">
      <c r="A52" s="22" t="inlineStr">
        <is>
          <t>NMES at 174 vs cheapest receiving school</t>
        </is>
      </c>
      <c r="B52" s="24">
        <f>B49-MIN(B46,B47)</f>
        <v/>
      </c>
      <c r="C52" s="21" t="inlineStr">
        <is>
          <t>Negative = NMES becomes the cheapest elementary school in the district</t>
        </is>
      </c>
    </row>
    <row r="53">
      <c r="A53" s="21" t="inlineStr">
        <is>
          <t>Filling the school reverses the cost argument: the premium exists because fixed costs sit on 128 students; spread over 174 the same school costs less per child than either receiving school, and the transfer students free the exact seats Cane Ridge is over capacity by.</t>
        </is>
      </c>
    </row>
    <row r="55">
      <c r="A55" s="4" t="inlineStr">
        <is>
          <t>SENSITIVITY: IS THE CAPACITY RESULT STRUCTURAL, OR AN ARTIFACT OF ASSUMPTIONS?</t>
        </is>
      </c>
    </row>
    <row r="56">
      <c r="A56" s="21" t="inlineStr">
        <is>
          <t>The only lever that matters is the marginal cost of each added student. Break-even values below are the marginal cost at which NMES at capacity stops being cheaper. Compare them to reality: added supplies and materials run a few hundred dollars; even hiring staff in proportion to students costs roughly half the average, because the average includes the principal, building, and staff already paid for.</t>
        </is>
      </c>
    </row>
    <row r="57">
      <c r="A57" s="3" t="inlineStr">
        <is>
          <t>Break-even marginal cost, NMES at 174 vs Bourbon Central</t>
        </is>
      </c>
      <c r="B57" s="9">
        <f>(B46*B6-B34)/(B6-B5)</f>
        <v/>
      </c>
      <c r="C57" s="21" t="inlineStr">
        <is>
          <t>NMES stays cheaper than Bourbon Central for any marginal cost below this</t>
        </is>
      </c>
    </row>
    <row r="58">
      <c r="A58" s="3" t="inlineStr">
        <is>
          <t>Break-even marginal cost, NMES at 174 vs Cane Ridge</t>
        </is>
      </c>
      <c r="B58" s="9">
        <f>(B47*B6-B34)/(B6-B5)</f>
        <v/>
      </c>
    </row>
    <row r="59">
      <c r="A59" s="3" t="inlineStr">
        <is>
          <t>Break-even marginal cost, NMES at 154 vs Bourbon Central</t>
        </is>
      </c>
      <c r="B59" s="9">
        <f>(B46*154-B34)/(154-B5)</f>
        <v/>
      </c>
    </row>
    <row r="60">
      <c r="A60" s="3" t="inlineStr">
        <is>
          <t>Break-even marginal cost, NMES at 154 vs Cane Ridge</t>
        </is>
      </c>
      <c r="B60" s="9">
        <f>(B47*154-B34)/(154-B5)</f>
        <v/>
      </c>
    </row>
    <row r="61">
      <c r="A61" s="3" t="inlineStr">
        <is>
          <t>Reference: NMES's ENTIRE state and local spending per pupil (fixed costs included)</t>
        </is>
      </c>
      <c r="B61" s="18">
        <f>Assumptions!B15</f>
        <v/>
      </c>
      <c r="C61" s="21" t="inlineStr">
        <is>
          <t>Even if every added student cost this full amount, which is impossible since it includes the fixed costs already paid, NMES at 174 still comes in under both receiving schools</t>
        </is>
      </c>
    </row>
    <row r="63">
      <c r="A63" s="4" t="inlineStr">
        <is>
          <t>PER-PUPIL GRID ACROSS MARGINAL-COST ASSUMPTIONS</t>
        </is>
      </c>
    </row>
    <row r="64">
      <c r="A64" s="3" t="inlineStr">
        <is>
          <t>Marginal cost per added student</t>
        </is>
      </c>
      <c r="B64" s="17" t="inlineStr">
        <is>
          <t>At 174</t>
        </is>
      </c>
      <c r="C64" s="17" t="inlineStr">
        <is>
          <t>At 154</t>
        </is>
      </c>
    </row>
    <row r="65">
      <c r="A65" s="8" t="n">
        <v>400</v>
      </c>
      <c r="B65" s="9">
        <f>(B$34+(B$6-B$5)*A65)/B$6</f>
        <v/>
      </c>
      <c r="C65" s="9">
        <f>(B$34+(154-B$5)*A65)/154</f>
        <v/>
      </c>
    </row>
    <row r="66">
      <c r="A66" s="8" t="n">
        <v>2500</v>
      </c>
      <c r="B66" s="9">
        <f>(B$34+(B$6-B$5)*A66)/B$6</f>
        <v/>
      </c>
      <c r="C66" s="9">
        <f>(B$34+(154-B$5)*A66)/154</f>
        <v/>
      </c>
    </row>
    <row r="67">
      <c r="A67" s="8" t="n">
        <v>5000</v>
      </c>
      <c r="B67" s="9">
        <f>(B$34+(B$6-B$5)*A67)/B$6</f>
        <v/>
      </c>
      <c r="C67" s="9">
        <f>(B$34+(154-B$5)*A67)/154</f>
        <v/>
      </c>
    </row>
    <row r="68">
      <c r="A68" s="8" t="n">
        <v>10000</v>
      </c>
      <c r="B68" s="9">
        <f>(B$34+(B$6-B$5)*A68)/B$6</f>
        <v/>
      </c>
      <c r="C68" s="9">
        <f>(B$34+(154-B$5)*A68)/154</f>
        <v/>
      </c>
    </row>
    <row r="69">
      <c r="A69" s="8" t="n">
        <v>14173</v>
      </c>
      <c r="B69" s="9">
        <f>(B$34+(B$6-B$5)*A69)/B$6</f>
        <v/>
      </c>
      <c r="C69" s="9">
        <f>(B$34+(154-B$5)*A69)/154</f>
        <v/>
      </c>
    </row>
    <row r="70">
      <c r="A70" s="21" t="inlineStr">
        <is>
          <t>Receiving schools today: Bourbon Central $18,131, Cane Ridge $18,670. At the state-approved 174 rating, NMES undercuts both across the entire grid, including the impossible full-average case. At the draft plan's 154 rating it holds for any marginal cost under about $12,140, roughly three times the class-cap marginal this workbook prices (about $3,670). Verdict: structural at 174, robust at 154.</t>
        </is>
      </c>
    </row>
    <row r="71">
      <c r="A71" s="21" t="inlineStr">
        <is>
          <t>Current enrollment is 128 (NCES CCD, 2024-25); filling to 174 adds 46 students, the figure used throughout this workbook and the grid above.</t>
        </is>
      </c>
    </row>
    <row r="73">
      <c r="A73" s="4" t="inlineStr">
        <is>
          <t>FIVE YEARS OF THE SAME TEST (KDE school-level filings, 2019-20 to 2023-24; backs Figure 6)</t>
        </is>
      </c>
    </row>
    <row r="74">
      <c r="A74" s="17" t="inlineStr">
        <is>
          <t>Year</t>
        </is>
      </c>
      <c r="B74" s="17" t="inlineStr">
        <is>
          <t>NMES members</t>
        </is>
      </c>
      <c r="C74" s="17" t="inlineStr">
        <is>
          <t>NMES $/pupil</t>
        </is>
      </c>
      <c r="D74" s="17" t="inlineStr">
        <is>
          <t>BCES $/pupil</t>
        </is>
      </c>
      <c r="E74" s="17" t="inlineStr">
        <is>
          <t>CRES $/pupil</t>
        </is>
      </c>
      <c r="F74" s="17" t="inlineStr">
        <is>
          <t>NMES at 174</t>
        </is>
      </c>
      <c r="G74" s="17" t="inlineStr">
        <is>
          <t>NMES at 154</t>
        </is>
      </c>
    </row>
    <row r="75">
      <c r="A75" s="3" t="inlineStr">
        <is>
          <t>2019-20</t>
        </is>
      </c>
      <c r="B75" s="10" t="n">
        <v>166</v>
      </c>
      <c r="C75" s="8" t="n">
        <v>12903</v>
      </c>
      <c r="D75" s="8" t="n">
        <v>12159</v>
      </c>
      <c r="E75" s="8" t="n">
        <v>12168</v>
      </c>
      <c r="F75" s="9">
        <f>(C75*B75+(174-B75)*Assumptions!B62)/174</f>
        <v/>
      </c>
      <c r="G75" s="2" t="inlineStr">
        <is>
          <t>n/a: enrolled above 154</t>
        </is>
      </c>
    </row>
    <row r="76">
      <c r="A76" s="3" t="inlineStr">
        <is>
          <t>2020-21</t>
        </is>
      </c>
      <c r="B76" s="10" t="n">
        <v>160</v>
      </c>
      <c r="C76" s="8" t="n">
        <v>15406</v>
      </c>
      <c r="D76" s="8" t="n">
        <v>14011</v>
      </c>
      <c r="E76" s="8" t="n">
        <v>14621</v>
      </c>
      <c r="F76" s="9">
        <f>(C76*B76+(174-B76)*Assumptions!B62)/174</f>
        <v/>
      </c>
      <c r="G76" s="2" t="inlineStr">
        <is>
          <t>n/a: enrolled above 154</t>
        </is>
      </c>
    </row>
    <row r="77">
      <c r="A77" s="3" t="inlineStr">
        <is>
          <t>2021-22</t>
        </is>
      </c>
      <c r="B77" s="10" t="n">
        <v>146</v>
      </c>
      <c r="C77" s="8" t="n">
        <v>19080</v>
      </c>
      <c r="D77" s="8" t="n">
        <v>15619</v>
      </c>
      <c r="E77" s="8" t="n">
        <v>16137</v>
      </c>
      <c r="F77" s="9">
        <f>(C77*B77+(174-B77)*Assumptions!B62)/174</f>
        <v/>
      </c>
      <c r="G77" s="9">
        <f>(C77*B77+(154-B77)*Assumptions!B62)/154</f>
        <v/>
      </c>
    </row>
    <row r="78">
      <c r="A78" s="3" t="inlineStr">
        <is>
          <t>2022-23</t>
        </is>
      </c>
      <c r="B78" s="10" t="n">
        <v>144</v>
      </c>
      <c r="C78" s="8" t="n">
        <v>19003</v>
      </c>
      <c r="D78" s="8" t="n">
        <v>17410</v>
      </c>
      <c r="E78" s="8" t="n">
        <v>17403</v>
      </c>
      <c r="F78" s="9">
        <f>(C78*B78+(174-B78)*Assumptions!B62)/174</f>
        <v/>
      </c>
      <c r="G78" s="9">
        <f>(C78*B78+(154-B78)*Assumptions!B62)/154</f>
        <v/>
      </c>
    </row>
    <row r="79">
      <c r="A79" s="3" t="inlineStr">
        <is>
          <t>2023-24</t>
        </is>
      </c>
      <c r="B79" s="10" t="n">
        <v>128</v>
      </c>
      <c r="C79" s="8" t="n">
        <v>19348</v>
      </c>
      <c r="D79" s="8" t="n">
        <v>18131</v>
      </c>
      <c r="E79" s="8" t="n">
        <v>18670</v>
      </c>
      <c r="F79" s="9">
        <f>(C79*B79+(174-B79)*Assumptions!B62)/174</f>
        <v/>
      </c>
      <c r="G79" s="9">
        <f>(C79*B79+(154-B79)*Assumptions!B62)/154</f>
        <v/>
      </c>
    </row>
    <row r="81">
      <c r="A81" s="21" t="inlineStr">
        <is>
          <t>Honest reading (corrected 7/26): at 174 the counterfactual is within 1 to 3 percent of the cheapest school in 2019-22, a tie, and decisively below both schools in 2022-23 and 2023-24. At the draft plan's 154 rating it is cheapest on the 2023-24 filing; in 2019-20 and 2020-21 the school enrolled above 154, the capacity the draft now assigns it. NMES's total site spending grew about 16 percent over the five years, against 35 to 37 percent at Bourbon Central and 46 to 47 percent at Cane Ridge, on the state's per-student filings times each school's reported enrollment; the bands carry the two base-year counts the record offers, the district's 2021 facility plan enrollment and the federal fall 2019 count. Decomposed, NMES's per-student rise is roughly one third spending and two thirds divisor (total up about 16 percent over membership down about 23 percent); at Bourbon Central the same decomposition is mostly spending. That is the finding: at this school the divisor did most of the work.</t>
        </is>
      </c>
    </row>
    <row r="83">
      <c r="A83" s="4" t="inlineStr">
        <is>
          <t>SYMMETRY CHECK: THE SENDERS' PER-PUPIL AFTER THE MOVE (2023-24 basis)</t>
        </is>
      </c>
    </row>
    <row r="84">
      <c r="A84" s="21" t="inlineStr">
        <is>
          <t>Per-pupil rises at the senders for the same denominator reason it falls at NMES; a pure shuffle leaves total district spending nearly unchanged in either direction. The comparison below is the honest post-move one.</t>
        </is>
      </c>
    </row>
    <row r="85">
      <c r="A85" s="3" t="inlineStr">
        <is>
          <t>Bourbon Central after sending 15 rezoned students</t>
        </is>
      </c>
      <c r="B85" s="9">
        <f>(8902321-15*Assumptions!B62)/(491-15)</f>
        <v/>
      </c>
      <c r="C85" s="21" t="inlineStr">
        <is>
          <t>2023-24 filing: $8,902,321 across 491 members; loses only variable cost per departing student</t>
        </is>
      </c>
    </row>
    <row r="86">
      <c r="A86" s="3" t="inlineStr">
        <is>
          <t>Cane Ridge after sending 15 rezoned students</t>
        </is>
      </c>
      <c r="B86" s="9">
        <f>(8606870-15*Assumptions!B62)/(461-15)</f>
        <v/>
      </c>
    </row>
    <row r="87">
      <c r="A87" s="3" t="inlineStr">
        <is>
          <t>Stress case: all 46 drawn in-county, 23 from each sender</t>
        </is>
      </c>
      <c r="B87" s="9">
        <f>(8902321-23*Assumptions!B62)/(491-23)</f>
        <v/>
      </c>
      <c r="C87" s="2" t="inlineStr">
        <is>
          <t>Bourbon Central; Cane Ridge in the next row</t>
        </is>
      </c>
    </row>
    <row r="88">
      <c r="A88" s="3" t="inlineStr">
        <is>
          <t>Stress case, Cane Ridge</t>
        </is>
      </c>
      <c r="B88" s="9">
        <f>(8606870-23*Assumptions!B62)/(461-23)</f>
        <v/>
      </c>
    </row>
    <row r="89">
      <c r="A89" s="21" t="inlineStr">
        <is>
          <t>NMES at 174 stays the cheapest of the three after the move, by a wider margin than before it (about $4,400 vs $3,800). The district-level cash case is booked separately and conservatively above as the net recurring benefit: consolidated sections at the senders, HB 563 SEEK revenue from out-of-county transfers, and capacity relief at Cane Ridge, which runs 31 students over its rating. The same symmetry runs the other way: closing NMES would lower the receiving schools' per-pupil optics while saving almost nothing in total, which is the closure case's weakness in one sentence.</t>
        </is>
      </c>
    </row>
    <row r="91">
      <c r="A91" s="4" t="inlineStr">
        <is>
          <t>VARIABLE-COST VALIDATION, BOTH DIRECTIONS (added 7/26)</t>
        </is>
      </c>
    </row>
    <row r="92">
      <c r="A92" s="21" t="inlineStr">
        <is>
          <t>Class-cap staffing check (KRS 157.360: 24 in K-3, 28 in grade 4, 29 in grade 5). At an even grade mix, 174 students need about 11 sections against 9 existing rooms, and 154 need about 10; the supplies-only counterfactual is therefore the BEST case, and the staffed cases below are the honest base cases. Grade-by-grade enrollment is a records ask; a mix weighted to grades 4-5 needs fewer sections.</t>
        </is>
      </c>
    </row>
    <row r="93">
      <c r="A93" s="3" t="inlineStr">
        <is>
          <t>NMES at 174 with two added sections (base case)</t>
        </is>
      </c>
      <c r="B93" s="9">
        <f>(B34+2*Assumptions!B41+(B6-B5)*Assumptions!B62)/B6</f>
        <v/>
      </c>
      <c r="C93" s="21" t="inlineStr">
        <is>
          <t>Same as the conservative row above; cheapest of the three on the 2023-24 filing</t>
        </is>
      </c>
    </row>
    <row r="94">
      <c r="A94" s="3" t="inlineStr">
        <is>
          <t>NMES at 154 with one added section (base case)</t>
        </is>
      </c>
      <c r="B94" s="9">
        <f>(B34+Assumptions!B41+(154-B5)*Assumptions!B62)/154</f>
        <v/>
      </c>
    </row>
    <row r="95">
      <c r="A95" s="3" t="inlineStr">
        <is>
          <t>Long-run bound at 174: every added student at the full $14,173 S/L average</t>
        </is>
      </c>
      <c r="B95" s="9">
        <f>(B34+(B6-B5)*Assumptions!B15)/B6</f>
        <v/>
      </c>
      <c r="C95" s="21" t="inlineStr">
        <is>
          <t>Still under both receiving schools on the 2023-24 filing. At 154 the same bound gives $18,474 and fails against Bourbon Central, consistent with the break-even rows above</t>
        </is>
      </c>
    </row>
    <row r="96">
      <c r="A96" s="3" t="inlineStr">
        <is>
          <t>Senders after 15 out each WITH one consolidated section (favorable to senders)</t>
        </is>
      </c>
      <c r="B96" s="9">
        <f>(8902321-15*Assumptions!B62-Assumptions!B41)/(491-15)</f>
        <v/>
      </c>
      <c r="C96" s="21" t="inlineStr">
        <is>
          <t>Bourbon Central; Cane Ridge next row. Consolidation lowers sender per-pupil AND is the source of the district-level saving; do not count it twice</t>
        </is>
      </c>
    </row>
    <row r="97">
      <c r="A97" s="3" t="inlineStr">
        <is>
          <t>Cane Ridge, same treatment</t>
        </is>
      </c>
      <c r="B97" s="9">
        <f>(8606870-15*Assumptions!B62-Assumptions!B41)/(461-15)</f>
        <v/>
      </c>
    </row>
    <row r="98">
      <c r="A98" s="21" t="inlineStr">
        <is>
          <t>The same discipline applies to the closure direction: 128 arriving students trigger the same class caps at the receiving schools, adding sections in several grades, which is exactly why the closure's net effect is minus $385K to plus $565K (median $91K) and not the school's $2.5M gross cost.</t>
        </is>
      </c>
    </row>
    <row r="100">
      <c r="A100" s="4" t="inlineStr">
        <is>
          <t>FAIR TEST: EVERY SCHOOL FILLED TO ITS RATED CAPACITY, SEVEN CAPACITY SETS (backs Figure 6)</t>
        </is>
      </c>
    </row>
    <row r="101">
      <c r="A101" s="21" t="inlineStr">
        <is>
          <t>Step costs: $400 per student added or removed, plus or minus $85,000 per section vs today's staffing (even K-5 mix under KRS 157.360). Section deltas below are precomputed from that rule; capacities from the named documents, all archived in build/.</t>
        </is>
      </c>
    </row>
    <row r="102">
      <c r="A102" s="17" t="inlineStr">
        <is>
          <t>Scenario (NMES/BCES/CRES caps)</t>
        </is>
      </c>
      <c r="B102" s="17" t="inlineStr">
        <is>
          <t>NMES</t>
        </is>
      </c>
      <c r="C102" s="17" t="inlineStr">
        <is>
          <t>BCES</t>
        </is>
      </c>
      <c r="D102" s="17" t="inlineStr">
        <is>
          <t>CRES</t>
        </is>
      </c>
      <c r="E102" s="17" t="inlineStr">
        <is>
          <t>Cheapest</t>
        </is>
      </c>
    </row>
    <row r="103">
      <c r="A103" s="3" t="inlineStr">
        <is>
          <t>Actual today (2023-24 filing)</t>
        </is>
      </c>
      <c r="B103" s="8" t="n">
        <v>19348</v>
      </c>
      <c r="C103" s="8" t="n">
        <v>18131</v>
      </c>
      <c r="D103" s="8" t="n">
        <v>18670</v>
      </c>
      <c r="E103" s="2" t="inlineStr">
        <is>
          <t>BCES</t>
        </is>
      </c>
    </row>
    <row r="104">
      <c r="A104" s="3" t="inlineStr">
        <is>
          <t>2013 plan, KBE approved (198/564/500)</t>
        </is>
      </c>
      <c r="B104" s="8" t="n">
        <v>13937</v>
      </c>
      <c r="C104" s="8" t="n">
        <v>16137</v>
      </c>
      <c r="D104" s="8" t="n">
        <v>17245</v>
      </c>
      <c r="E104" s="2" t="inlineStr">
        <is>
          <t>NMES</t>
        </is>
      </c>
    </row>
    <row r="105">
      <c r="A105" s="3" t="inlineStr">
        <is>
          <t>2017 plan, KBE approved (152/611/550)</t>
        </is>
      </c>
      <c r="B105" s="8" t="n">
        <v>16915</v>
      </c>
      <c r="C105" s="8" t="n">
        <v>15483</v>
      </c>
      <c r="D105" s="8" t="n">
        <v>16023</v>
      </c>
      <c r="E105" s="2" t="inlineStr">
        <is>
          <t>BCES</t>
        </is>
      </c>
    </row>
    <row r="106">
      <c r="A106" s="3" t="inlineStr">
        <is>
          <t>2021 plan, KBE approved, in force (174/521/422)</t>
        </is>
      </c>
      <c r="B106" s="8" t="n">
        <v>15316</v>
      </c>
      <c r="C106" s="8" t="n">
        <v>17273</v>
      </c>
      <c r="D106" s="8" t="n">
        <v>19553</v>
      </c>
      <c r="E106" s="2" t="inlineStr">
        <is>
          <t>NMES</t>
        </is>
      </c>
    </row>
    <row r="107">
      <c r="A107" s="3" t="inlineStr">
        <is>
          <t>Peak enrollment 2005-2025 (224/620/495)</t>
        </is>
      </c>
      <c r="B107" s="8" t="n">
        <v>12366</v>
      </c>
      <c r="C107" s="8" t="n">
        <v>15264</v>
      </c>
      <c r="D107" s="8" t="n">
        <v>17415</v>
      </c>
      <c r="E107" s="2" t="inlineStr">
        <is>
          <t>NMES</t>
        </is>
      </c>
    </row>
    <row r="108">
      <c r="A108" s="3" t="inlineStr">
        <is>
          <t>2026 KFICS architect slides (154/499/397)</t>
        </is>
      </c>
      <c r="B108" s="8" t="n">
        <v>16701</v>
      </c>
      <c r="C108" s="8" t="n">
        <v>17847</v>
      </c>
      <c r="D108" s="8" t="n">
        <v>20759</v>
      </c>
      <c r="E108" s="2" t="inlineStr">
        <is>
          <t>NMES</t>
        </is>
      </c>
    </row>
    <row r="109">
      <c r="A109" s="3" t="inlineStr">
        <is>
          <t>2026 draft DFP table, unapproved (154/640/547)</t>
        </is>
      </c>
      <c r="B109" s="8" t="n">
        <v>16701</v>
      </c>
      <c r="C109" s="8" t="n">
        <v>14800</v>
      </c>
      <c r="D109" s="8" t="n">
        <v>16108</v>
      </c>
      <c r="E109" s="2" t="inlineStr">
        <is>
          <t>BCES</t>
        </is>
      </c>
    </row>
    <row r="110">
      <c r="A110" s="21" t="inlineStr">
        <is>
          <t>Same-building ratings across four consecutive plans: NMES 198-152-174-154, Bourbon Central 564-611-521-640, Cane Ridge 500-550-422-547. Swings up to 128 seats with no major construction after 2009. The 2017 plan (recovered from the Internet Archive; KBE minutes June 7, 2017 corroborate) lists NMES at 154 enrolled against 152 capacity: OVER capacity.</t>
        </is>
      </c>
    </row>
    <row r="111">
      <c r="A111" s="21" t="inlineStr">
        <is>
          <t>VALIDATION AGAINST ACTUALS: withdrawn in v3.9. The two-school cost slope used here depended on memberships (491 and 461) that appear in no archived source file and that contradict B8 and B9 above, and its sign flips from plus $9,848 to minus $941 to minus $22,564 across the three plausible membership pairs. The honest bound is the break-even marginal cost already computed live in rows 57 to 60.</t>
        </is>
      </c>
    </row>
    <row r="114">
      <c r="A114" s="21" t="inlineStr">
        <is>
          <t>Extreme bound: NMES's own year-over-year cost change 2022-23 to 2023-24 ($259,888 lower with 16 fewer students, about $16,243 per student, which folds in deliberate staffing cuts) gives $18,527 at 174: under Cane Ridge, marginally over Bourbon Central. Even the most hostile actuals-derived number does not restore the cost case.</t>
        </is>
      </c>
    </row>
    <row r="116">
      <c r="A116" s="4" t="inlineStr">
        <is>
          <t>THE RECRUITMENT POOL: WHERE FILL-THE-SEATS STUDENTS CAN COME FROM (measured; year noted per row; sources archived under build/)</t>
        </is>
      </c>
    </row>
    <row r="117">
      <c r="A117" s="3" t="inlineStr">
        <is>
          <t>Registered homeschoolers, Bourbon Co district (2022-23; district letter-of-intent counts via the Washington Post records project)</t>
        </is>
      </c>
      <c r="B117" s="10" t="n">
        <v>236</v>
      </c>
    </row>
    <row r="118">
      <c r="A118" s="3" t="inlineStr">
        <is>
          <t>Registered homeschoolers, Paris Independent (2022-23)</t>
        </is>
      </c>
      <c r="B118" s="10" t="n">
        <v>23</v>
      </c>
    </row>
    <row r="119">
      <c r="A119" s="3" t="inlineStr">
        <is>
          <t>County total registered homeschoolers (a floor; KY letter compliance is incomplete)</t>
        </is>
      </c>
      <c r="B119" s="26">
        <f>B117+B118</f>
        <v/>
      </c>
    </row>
    <row r="120">
      <c r="A120" s="3" t="inlineStr">
        <is>
          <t>County school-age (5-17) residents in private school OR homeschool (ACS 2019-23; the Census asks these as one combined answer; margin of error +/-299)</t>
        </is>
      </c>
      <c r="B120" s="10" t="n">
        <v>1135</v>
      </c>
    </row>
    <row r="121">
      <c r="A121" s="3" t="inlineStr">
        <is>
          <t>Same figure, ACS 2014-18 window: the pool nearly tripled in five years</t>
        </is>
      </c>
      <c r="B121" s="10" t="n">
        <v>422</v>
      </c>
    </row>
    <row r="122">
      <c r="A122" s="3" t="inlineStr">
        <is>
          <t>Of the current pool, seats at the county's ONLY private school (St. Mary, Paris, PK-5; federal Private School Survey 2023-24)</t>
        </is>
      </c>
      <c r="B122" s="10" t="n">
        <v>96</v>
      </c>
    </row>
    <row r="123">
      <c r="A123" s="3" t="inlineStr">
        <is>
          <t>Bourbon Co residents enrolled in OUT-OF-COUNTY public districts (KDE Non-Resident Student report, SY2024-25)</t>
        </is>
      </c>
      <c r="B123" s="10" t="n">
        <v>76</v>
      </c>
    </row>
    <row r="124">
      <c r="A124" s="3" t="inlineStr">
        <is>
          <t xml:space="preserve">  of which Cloverport Independent, host of the statewide virtual academy: a 150-mile 'commute' that is really virtual enrollment</t>
        </is>
      </c>
      <c r="B124" s="10" t="n">
        <v>10</v>
      </c>
    </row>
    <row r="125">
      <c r="A125" s="3" t="inlineStr">
        <is>
          <t>Out-of-county students already enrolled in Bourbon Co schools (same KDE report)</t>
        </is>
      </c>
      <c r="B125" s="10" t="n">
        <v>131</v>
      </c>
    </row>
    <row r="126">
      <c r="A126" s="3" t="inlineStr">
        <is>
          <t xml:space="preserve">  of which from Fayette County</t>
        </is>
      </c>
      <c r="B126" s="10" t="n">
        <v>54</v>
      </c>
    </row>
    <row r="127">
      <c r="A127" s="3" t="inlineStr">
        <is>
          <t>Net nonresident import, Bourbon Co district (436 enrolled in vs 247 residents out, Paris flows included)</t>
        </is>
      </c>
      <c r="B127" s="10" t="n">
        <v>189</v>
      </c>
    </row>
    <row r="129">
      <c r="A129" s="3" t="inlineStr">
        <is>
          <t>LEVER: returning homeschool or private-school students recruited (site planner slider; default zero so the published fill-planner numbers are unchanged)</t>
        </is>
      </c>
      <c r="B129" s="16" t="n">
        <v>0</v>
      </c>
    </row>
    <row r="130">
      <c r="A130" s="3" t="inlineStr">
        <is>
          <t>New SEEK per returning student (FY2027 base; same cell the leaver cost uses, so the symmetry is honest)</t>
        </is>
      </c>
      <c r="B130" s="18">
        <f>Assumptions!B6</f>
        <v/>
      </c>
    </row>
    <row r="131">
      <c r="A131" s="3" t="inlineStr">
        <is>
          <t>Net per returning student after variable cost</t>
        </is>
      </c>
      <c r="B131" s="9">
        <f>Assumptions!B6-Assumptions!B62</f>
        <v/>
      </c>
    </row>
    <row r="132">
      <c r="A132" s="3" t="inlineStr">
        <is>
          <t>Recurring SEEK revenue if the lever is used</t>
        </is>
      </c>
      <c r="B132" s="9">
        <f>B129*B131</f>
        <v/>
      </c>
    </row>
    <row r="133">
      <c r="A133" s="3" t="inlineStr">
        <is>
          <t>Recurring SEEK revenue if all 46 open seats fill from this pool alone</t>
        </is>
      </c>
      <c r="B133" s="23">
        <f>46*Assumptions!B6</f>
        <v/>
      </c>
    </row>
    <row r="134">
      <c r="A134" s="3" t="inlineStr">
        <is>
          <t>Capture rate that requires: share of registered homeschoolers / share of the full ACS pool</t>
        </is>
      </c>
      <c r="B134" s="19">
        <f>46/B119</f>
        <v/>
      </c>
      <c r="C134" s="19">
        <f>46/B120</f>
        <v/>
      </c>
    </row>
    <row r="135">
      <c r="A135" s="21" t="inlineStr">
        <is>
          <t>Total added students from all sources (rezone + transfers + returns) is capped at 46 by the rated 174; the site planner enforces the cap. Rezoned students bring no new SEEK (already enrolled in-district); transfers and returns each bring the full base. Sources: KDE Non-Resident Student report SY24-25 and the Washington Post home-school district file, both archived under build/; ACS table B14003 (Bourbon County); NCES Private School Universe Survey 2023-24.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5">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27">
        <f>B5*B9</f>
        <v/>
      </c>
    </row>
    <row r="11">
      <c r="A11" s="3" t="inlineStr">
        <is>
          <t>Paris-area zones (sq mi)</t>
        </is>
      </c>
      <c r="B11" s="27">
        <f>B5-B10</f>
        <v/>
      </c>
    </row>
    <row r="12">
      <c r="A12" s="3" t="inlineStr">
        <is>
          <t>NMES elementary students</t>
        </is>
      </c>
      <c r="B12" s="25">
        <f>Assumptions!B11</f>
        <v/>
      </c>
    </row>
    <row r="13">
      <c r="A13" s="3" t="inlineStr">
        <is>
          <t>Paris-area elementary students</t>
        </is>
      </c>
      <c r="B13" s="25">
        <f>Redistricting!B8+Redistricting!B9</f>
        <v/>
      </c>
    </row>
    <row r="14">
      <c r="A14" s="3" t="inlineStr">
        <is>
          <t>Students per square mile, NMES zone</t>
        </is>
      </c>
      <c r="B14" s="20">
        <f>B12/B10</f>
        <v/>
      </c>
    </row>
    <row r="15">
      <c r="A15" s="3" t="inlineStr">
        <is>
          <t>Students per square mile, Paris-area zones</t>
        </is>
      </c>
      <c r="B15" s="20">
        <f>B13/B11</f>
        <v/>
      </c>
    </row>
    <row r="16">
      <c r="A16" s="3" t="inlineStr">
        <is>
          <t>Students per square mile, district elementary overall</t>
        </is>
      </c>
      <c r="B16" s="20">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28" t="n">
        <v>2.5</v>
      </c>
      <c r="C27" s="2" t="inlineStr">
        <is>
          <t>Fuel, maintenance, driver time; replace with district cost data</t>
        </is>
      </c>
    </row>
    <row r="28">
      <c r="A28" s="3" t="inlineStr">
        <is>
          <t>Marginal cost per bus-mile, high</t>
        </is>
      </c>
      <c r="B28" s="28"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2" t="inlineStr">
        <is>
          <t>Bottom-up added busing cost, low</t>
        </is>
      </c>
      <c r="B33" s="24">
        <f>B29</f>
        <v/>
      </c>
    </row>
    <row r="34">
      <c r="A34" s="22" t="inlineStr">
        <is>
          <t>Bottom-up added busing cost, high</t>
        </is>
      </c>
      <c r="B34" s="23">
        <f>B30+B31*B32</f>
        <v/>
      </c>
    </row>
    <row r="35">
      <c r="A35" s="3" t="inlineStr">
        <is>
          <t>Report's planning range (Closure_Model offset basis)</t>
        </is>
      </c>
      <c r="B35" s="2" t="inlineStr">
        <is>
          <t>Between $75,000 and $200,000</t>
        </is>
      </c>
    </row>
    <row r="36">
      <c r="A36" s="21" t="inlineStr">
        <is>
          <t>The bottom-up estimate lands inside the planning range; the $137,500 midpoint used in the Closure_Model stands.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5">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18">
        <f>Assumptions!B42</f>
        <v/>
      </c>
    </row>
    <row r="49">
      <c r="A49" s="3" t="inlineStr">
        <is>
          <t>Average Daily Attendance, FY2025</t>
        </is>
      </c>
      <c r="B49" s="29"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18">
        <f>Assumptions!B42*Assumptions!B43</f>
        <v/>
      </c>
    </row>
    <row r="52">
      <c r="A52" s="3" t="inlineStr"/>
      <c r="B52" s="18">
        <f>Assumptions!B42*Assumptions!B44</f>
        <v/>
      </c>
    </row>
    <row r="54">
      <c r="A54" s="4" t="inlineStr">
        <is>
          <t>ACTUAL DISTANCES, COMPUTED FROM THE OFFICIAL ZONE GEOMETRY (build/zone_distances.py)</t>
        </is>
      </c>
    </row>
    <row r="55">
      <c r="A55" s="3" t="inlineStr">
        <is>
          <t>Straight-line, NMES to the Paris schools (miles)</t>
        </is>
      </c>
      <c r="B55" s="29" t="n">
        <v>8.871</v>
      </c>
      <c r="C55" s="2" t="inlineStr">
        <is>
          <t>Great-circle between the school points; unrounded so derived cells match build/zone_distances.json</t>
        </is>
      </c>
    </row>
    <row r="56">
      <c r="A56" s="3" t="inlineStr">
        <is>
          <t>Measured road distance, US 460 (miles)</t>
        </is>
      </c>
      <c r="B56" s="29" t="n">
        <v>10</v>
      </c>
      <c r="C56" s="2" t="inlineStr">
        <is>
          <t>The one pair that can be measured exactly</t>
        </is>
      </c>
    </row>
    <row r="57">
      <c r="A57" s="3" t="inlineStr">
        <is>
          <t>Implied road factor on the measured pair</t>
        </is>
      </c>
      <c r="B57" s="30">
        <f>B56/B55</f>
        <v/>
      </c>
    </row>
    <row r="58">
      <c r="A58" s="3" t="inlineStr">
        <is>
          <t>Road factor applied elsewhere (the measured US 460 pair implies 1.13)</t>
        </is>
      </c>
      <c r="B58" s="28" t="n">
        <v>1.2</v>
      </c>
    </row>
    <row r="59">
      <c r="A59" s="3" t="inlineStr">
        <is>
          <t>Area-average added distance under closure, one way, straight-line</t>
        </is>
      </c>
      <c r="B59" s="29" t="n">
        <v>3.271</v>
      </c>
      <c r="C59" s="2" t="inlineStr">
        <is>
          <t>Grid average over the official NMES zone (812 sample points); unrounded input, displays to one decimal</t>
        </is>
      </c>
    </row>
    <row r="60">
      <c r="A60" s="3" t="inlineStr">
        <is>
          <t>Area-average added distance, road</t>
        </is>
      </c>
      <c r="B60" s="20">
        <f>B59*B58</f>
        <v/>
      </c>
    </row>
    <row r="61">
      <c r="A61" s="3" t="inlineStr">
        <is>
          <t>Farthest corner of the zone, straight-line to Paris / to NMES</t>
        </is>
      </c>
      <c r="B61" s="29" t="n">
        <v>15.1</v>
      </c>
      <c r="C61" s="2" t="inlineStr">
        <is>
          <t>8.3 miles to NMES; near the Nicholas County line</t>
        </is>
      </c>
    </row>
    <row r="62">
      <c r="A62" s="3" t="inlineStr">
        <is>
          <t>Farthest corner by road: to Paris / to NMES (miles)</t>
        </is>
      </c>
      <c r="B62" s="27">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0"/>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17" t="inlineStr">
        <is>
          <t>Measure</t>
        </is>
      </c>
      <c r="B3" s="17" t="inlineStr">
        <is>
          <t>Low ($/yr)</t>
        </is>
      </c>
      <c r="C3" s="17" t="inlineStr">
        <is>
          <t>High ($/yr)</t>
        </is>
      </c>
      <c r="D3" s="17" t="inlineStr">
        <is>
          <t>Basis</t>
        </is>
      </c>
      <c r="E3" s="17" t="inlineStr">
        <is>
          <t>Type</t>
        </is>
      </c>
      <c r="F3" s="17" t="inlineStr">
        <is>
          <t>Confidence / what firms it up</t>
        </is>
      </c>
    </row>
    <row r="4">
      <c r="A4" s="3" t="inlineStr">
        <is>
          <t>4% property-tax adjustment (KRS 160.470)</t>
        </is>
      </c>
      <c r="B4" s="18">
        <f>Tax_History!B50</f>
        <v/>
      </c>
      <c r="C4" s="8" t="n">
        <v>375000</v>
      </c>
      <c r="D4" s="2" t="inlineStr">
        <is>
          <t>Low = year-one 4% option on the General Fund levied base (matches the levy analysis); high allows base growth</t>
        </is>
      </c>
      <c r="E4" s="2" t="inlineStr">
        <is>
          <t>New revenue</t>
        </is>
      </c>
      <c r="F4" s="2" t="inlineStr">
        <is>
          <t>High; board authority every August, no recall exposure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18">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18">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18">
        <f>Assumptions!B42*Assumptions!B43</f>
        <v/>
      </c>
      <c r="C9" s="18">
        <f>Assumptions!B42*Assumptions!B44</f>
        <v/>
      </c>
      <c r="D9" s="2" t="inlineStr">
        <is>
          <t>5-10% of FY2025 transport expense</t>
        </is>
      </c>
      <c r="E9" s="2" t="inlineStr">
        <is>
          <t>Cost reduction</t>
        </is>
      </c>
      <c r="F9" s="2" t="inlineStr">
        <is>
          <t>Medium; needs a local route model (T-1 data requested)</t>
        </is>
      </c>
    </row>
    <row r="10">
      <c r="A10" s="3" t="inlineStr">
        <is>
          <t>Energy performance contracting</t>
        </is>
      </c>
      <c r="B10" s="8" t="n">
        <v>50000</v>
      </c>
      <c r="C10" s="8" t="n">
        <v>150000</v>
      </c>
      <c r="D10" s="2" t="inlineStr">
        <is>
          <t>10-25% of utilities; authorized by 702 KAR 4:160</t>
        </is>
      </c>
      <c r="E10" s="2" t="inlineStr">
        <is>
          <t>Cost reduction</t>
        </is>
      </c>
      <c r="F10" s="2" t="inlineStr">
        <is>
          <t>Medium; contracts are structured to self-fund</t>
        </is>
      </c>
    </row>
    <row r="11">
      <c r="A11" s="3" t="inlineStr">
        <is>
          <t>Fill NMES to capacity (rebalance + transfers, net)</t>
        </is>
      </c>
      <c r="B11" s="18">
        <f>Redistricting!B30</f>
        <v/>
      </c>
      <c r="C11" s="18">
        <f>Redistricting!B31</f>
        <v/>
      </c>
      <c r="D11" s="2" t="inlineStr">
        <is>
          <t>Boundary rebalancing and cross-county scenario, Redistricting tab</t>
        </is>
      </c>
      <c r="E11" s="2" t="inlineStr">
        <is>
          <t>New revenue, net of costs</t>
        </is>
      </c>
      <c r="F11" s="2" t="inlineStr">
        <is>
          <t>High; board boundary authority, math on Redistricting tab</t>
        </is>
      </c>
    </row>
    <row r="12">
      <c r="A12" s="3" t="inlineStr">
        <is>
          <t>District-wide recruitment beyond NMES's 46 seats (homeschool, private-school, nonresident incentives; v3.8)</t>
        </is>
      </c>
      <c r="B12" s="18">
        <f>25*(Assumptions!B6-Assumptions!B62)</f>
        <v/>
      </c>
      <c r="C12" s="18">
        <f>50*(Assumptions!B6-Assumptions!B62)</f>
        <v/>
      </c>
      <c r="D12" s="2" t="inlineStr">
        <is>
          <t>25-50 additional students at $4,226 net; pool measured on Redistricting rows 116-135 (259 registered homeschoolers, ACS pool ~1,135, net import already 189); 62 open seats exist at Bourbon Central's approved rating</t>
        </is>
      </c>
      <c r="E12" s="2" t="inlineStr">
        <is>
          <t>New revenue</t>
        </is>
      </c>
      <c r="F12" s="2" t="inlineStr">
        <is>
          <t>Medium; needs an enrollment marketing plan and incentive design</t>
        </is>
      </c>
    </row>
    <row r="13">
      <c r="A13" s="22" t="inlineStr">
        <is>
          <t>Total identified (ranges overlap; not additive to the penny)</t>
        </is>
      </c>
      <c r="B13" s="24">
        <f>SUM(B4:B12)</f>
        <v/>
      </c>
      <c r="C13" s="24">
        <f>SUM(C4:C12)</f>
        <v/>
      </c>
    </row>
    <row r="15">
      <c r="A15" s="4" t="inlineStr">
        <is>
          <t>COMPARISON</t>
        </is>
      </c>
    </row>
    <row r="16">
      <c r="A16" s="3" t="inlineStr">
        <is>
          <t>Package midpoint (raw sum of ranges)</t>
        </is>
      </c>
      <c r="B16" s="9">
        <f>(B13+C13)/2</f>
        <v/>
      </c>
    </row>
    <row r="17">
      <c r="A17" s="3" t="inlineStr">
        <is>
          <t>Conservative combined estimate, low (haircut for overlap)</t>
        </is>
      </c>
      <c r="B17" s="14" t="n">
        <v>900000</v>
      </c>
    </row>
    <row r="18">
      <c r="A18" s="3" t="inlineStr">
        <is>
          <t>Conservative combined estimate, high</t>
        </is>
      </c>
      <c r="B18" s="14" t="n">
        <v>1700000</v>
      </c>
    </row>
    <row r="19">
      <c r="A19" s="3" t="inlineStr">
        <is>
          <t>Conservative midpoint (used in Runway sheet)</t>
        </is>
      </c>
      <c r="B19" s="9">
        <f>(B17+B18)/2</f>
        <v/>
      </c>
    </row>
    <row r="20">
      <c r="A20" s="3" t="inlineStr">
        <is>
          <t>Average annual GF drawdown (FY2024-25)</t>
        </is>
      </c>
      <c r="B20" s="18">
        <f>GF_Summary!D16</f>
        <v/>
      </c>
    </row>
    <row r="21">
      <c r="A21" s="3" t="inlineStr">
        <is>
          <t>Closure net saving (base case)</t>
        </is>
      </c>
      <c r="B21" s="18">
        <f>Closure_Model!B20</f>
        <v/>
      </c>
    </row>
    <row r="23">
      <c r="A23" s="21" t="inlineStr">
        <is>
          <t>Reading: raw row sums run about $1.4M to $2.3M; the published $0.9M to $1.7M band applies a conservative haircut for overlap and implementation risk. Medicaid and reimbursement recovery were removed from the menu in v4.2 review; shared services with Paris Independent was removed in v4.4 review. Coverage is reported against both yardsticks: the $2.65M structural gap before transfers and the roughly $1.15M net drawdown after transfers (Closure_Model rows 21 and 35 carry both for closure).</t>
        </is>
      </c>
    </row>
    <row r="25">
      <c r="A25" s="4" t="inlineStr">
        <is>
          <t>THE GROWTH PATH: THE SAME MENU AS A DISTRICT-WIDE RECOVERY PLAN (v3.8; backs the site card and Section 9)</t>
        </is>
      </c>
    </row>
    <row r="26">
      <c r="A26" s="3" t="inlineStr">
        <is>
          <t>Move 1: inspect fixed costs (every non-teaching position via attrition, administrative restructuring, transport, energy)</t>
        </is>
      </c>
      <c r="B26" s="23">
        <f>SUM(B7:B10)</f>
        <v/>
      </c>
      <c r="C26" s="23">
        <f>SUM(C7:C10)</f>
        <v/>
      </c>
    </row>
    <row r="27">
      <c r="A27" s="3" t="inlineStr">
        <is>
          <t>Move 2: grow enrollment instead of shrinking it (attendance recovery, fill NMES, district-wide recruitment)</t>
        </is>
      </c>
      <c r="B27" s="23">
        <f>B6+B11+B12</f>
        <v/>
      </c>
      <c r="C27" s="23">
        <f>C6+C11+C12</f>
        <v/>
      </c>
    </row>
    <row r="28">
      <c r="A28" s="3" t="inlineStr">
        <is>
          <t>Move 3: the honest revenue conversation, year one (4 percent option plus delinquency; compounds by year three; recallable menu beyond it on Tax_History rows 70-91)</t>
        </is>
      </c>
      <c r="B28" s="23">
        <f>B4+B5</f>
        <v/>
      </c>
      <c r="C28" s="23">
        <f>C4+C5</f>
        <v/>
      </c>
    </row>
    <row r="29">
      <c r="A29" s="3" t="inlineStr">
        <is>
          <t>Growth plan total (equals the raw sum above; the published band is the conservative cut of the same rows)</t>
        </is>
      </c>
      <c r="B29" s="23">
        <f>B26+B27+B28</f>
        <v/>
      </c>
      <c r="C29" s="23">
        <f>C26+C27+C28</f>
        <v/>
      </c>
    </row>
    <row r="30">
      <c r="A30" s="21" t="inlineStr">
        <is>
          <t>NMES is not the reason salaries cannot rise (its honest excess cost is about $156,000, six tenths of a percent of the budget) and not the reason capital waits (about $17.6M of restricted capacity sits unused while the sweep drains the building fund). The structural problem is district-wide; so is the fix.</t>
        </is>
      </c>
    </row>
    <row r="31">
      <c r="A31" s="3" t="inlineStr">
        <is>
          <t>Plan at LOW ends: enrollment $1.11M + costs $760K</t>
        </is>
      </c>
      <c r="B31" s="8" t="n">
        <v>1870000</v>
      </c>
    </row>
    <row r="32">
      <c r="A32" s="3" t="inlineStr">
        <is>
          <t>Full 2018 rate restore (Tax_History basis)</t>
        </is>
      </c>
      <c r="B32" s="8" t="n">
        <v>1699479</v>
      </c>
    </row>
    <row r="33">
      <c r="A33" s="3" t="inlineStr">
        <is>
          <t>Structural gap before transfers</t>
        </is>
      </c>
      <c r="B33" s="18">
        <f>Assumptions!B24-Assumptions!B21</f>
        <v/>
      </c>
    </row>
    <row r="34">
      <c r="A34" s="3" t="inlineStr">
        <is>
          <t>Recurring surplus after the gap</t>
        </is>
      </c>
      <c r="B34" s="23">
        <f>B31+B32-B33</f>
        <v/>
      </c>
    </row>
    <row r="35">
      <c r="A35" s="3" t="inlineStr">
        <is>
          <t>5% raise, every certified teacher (GF certified payroll x 5% x 1.0145 employer Medicare)</t>
        </is>
      </c>
      <c r="B35" s="9">
        <f>10000388*0.05*1.0145</f>
        <v/>
      </c>
      <c r="C35" s="2" t="inlineStr">
        <is>
          <t>GF object 0110 total, FY2026 working budget (archived build/fy2026_working_budget.pdf)</t>
        </is>
      </c>
    </row>
    <row r="36">
      <c r="A36" s="3" t="inlineStr">
        <is>
          <t>Left for new debt service</t>
        </is>
      </c>
      <c r="B36" s="9">
        <f>B34-B35</f>
        <v/>
      </c>
    </row>
    <row r="37">
      <c r="A37" s="3" t="inlineStr">
        <is>
          <t>New bonds supported (4.5%, 20 years; same basis as Debt_Service)</t>
        </is>
      </c>
      <c r="B37" s="23">
        <f>B36*(1-1.045^-20)/0.045</f>
        <v/>
      </c>
    </row>
    <row r="38">
      <c r="A38" s="3" t="inlineStr">
        <is>
          <t>Restricted capacity freed when the sweep ends (Debt_Service)</t>
        </is>
      </c>
      <c r="B38" s="8" t="n">
        <v>17600000</v>
      </c>
    </row>
    <row r="39">
      <c r="A39" s="3" t="inlineStr">
        <is>
          <t>Building capacity, together</t>
        </is>
      </c>
      <c r="B39" s="23">
        <f>B37+B38</f>
        <v/>
      </c>
    </row>
    <row r="40">
      <c r="A40" s="21" t="inlineStr">
        <is>
          <t>Reading: at the plan's LOW ends with the full restore, the district funds a 5 percent certified raise AND about $23 million of building capacity for new schools and renovations, with every school open. Requires the full 8.9-cent restore and hitting the low-end lever estimates.</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0"/>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17" t="inlineStr">
        <is>
          <t>Series</t>
        </is>
      </c>
      <c r="B4" s="17" t="inlineStr">
        <is>
          <t>Original</t>
        </is>
      </c>
      <c r="C4" s="17" t="inlineStr">
        <is>
          <t>Rate</t>
        </is>
      </c>
      <c r="D4" s="17" t="inlineStr">
        <is>
          <t>Maturity</t>
        </is>
      </c>
      <c r="E4" s="17" t="inlineStr">
        <is>
          <t>Outstanding 6/30/25</t>
        </is>
      </c>
      <c r="F4" s="17"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2" t="inlineStr">
        <is>
          <t>Total</t>
        </is>
      </c>
      <c r="B12" s="24">
        <f>SUM(B5:B11)</f>
        <v/>
      </c>
      <c r="E12" s="24">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29"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18">
        <f>Tax_History!B33</f>
        <v/>
      </c>
    </row>
    <row r="26">
      <c r="A26" s="3" t="inlineStr">
        <is>
          <t>District-paid debt service, FY2026</t>
        </is>
      </c>
      <c r="B26" s="8" t="n">
        <v>1578700</v>
      </c>
    </row>
    <row r="27">
      <c r="A27" s="3" t="inlineStr">
        <is>
          <t>Annual restricted margin available for new debt (illustrative)</t>
        </is>
      </c>
      <c r="B27" s="31">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row r="37">
      <c r="A37" s="4" t="inlineStr">
        <is>
          <t>THE $14 MILLION PLAN (JULY 15, 2026 PLANNING COMMITTEE)</t>
        </is>
      </c>
    </row>
    <row r="38">
      <c r="A38" s="2" t="inlineStr">
        <is>
          <t>Stated plan: free up $800,000 to $1,000,000 a year of operating money to bond $14 million</t>
        </is>
      </c>
    </row>
    <row r="39">
      <c r="A39" s="3" t="inlineStr">
        <is>
          <t>Proposed bond amount</t>
        </is>
      </c>
      <c r="B39" s="8" t="n">
        <v>14000000</v>
      </c>
    </row>
    <row r="40">
      <c r="A40" s="3" t="inlineStr">
        <is>
          <t>Assumed interest rate</t>
        </is>
      </c>
      <c r="B40" s="13" t="n">
        <v>0.045</v>
      </c>
    </row>
    <row r="41">
      <c r="A41" s="3" t="inlineStr">
        <is>
          <t>Assumed term, years</t>
        </is>
      </c>
      <c r="B41" s="32" t="n">
        <v>20</v>
      </c>
    </row>
    <row r="42">
      <c r="A42" s="3" t="inlineStr">
        <is>
          <t>Annual debt service on the proposed bond</t>
        </is>
      </c>
      <c r="B42" s="31">
        <f>B39*B40/(1-(1+B40)^-B41)</f>
        <v/>
      </c>
      <c r="F42" s="21" t="inlineStr">
        <is>
          <t>Payment is approximately the operating amount the plan frees up; compare the savings scenarios below</t>
        </is>
      </c>
    </row>
    <row r="44">
      <c r="A44" s="4" t="inlineStr">
        <is>
          <t>WHAT EACH SAVINGS ESTIMATE COULD ACTUALLY BOND</t>
        </is>
      </c>
    </row>
    <row r="45">
      <c r="A45" s="2" t="inlineStr">
        <is>
          <t>Bond principal supported = annual savings x present-value annuity factor at the rate and term above</t>
        </is>
      </c>
    </row>
    <row r="46">
      <c r="A46" s="3" t="inlineStr">
        <is>
          <t>District's own KDE-filed excess cost of NMES vs peer elementaries</t>
        </is>
      </c>
      <c r="B46" s="8" t="n">
        <v>121220</v>
      </c>
      <c r="C46" s="9">
        <f>B46*(1-(1+B$40)^-B$41)/B$40</f>
        <v/>
      </c>
      <c r="F46" s="21" t="inlineStr">
        <is>
          <t>Above the v4.2 closure model's central case ($54,539); the v4.2 median itself is negative (-$21,971)</t>
        </is>
      </c>
    </row>
    <row r="47">
      <c r="A47" s="3" t="inlineStr">
        <is>
          <t>Closure model median (v4.2 two-tailed grid)</t>
        </is>
      </c>
      <c r="B47" s="8" t="n">
        <v>-21971</v>
      </c>
      <c r="C47" s="9">
        <f>B47*(1-(1+B$40)^-B$41)/B$40</f>
        <v/>
      </c>
      <c r="F47" s="21" t="inlineStr">
        <is>
          <t>Closure_Model tab, 5,832-combination grid; the median scenario loses money</t>
        </is>
      </c>
    </row>
    <row r="48">
      <c r="A48" s="3" t="inlineStr">
        <is>
          <t>Closure model best case (v4.2 favorable tail)</t>
        </is>
      </c>
      <c r="B48" s="8" t="n">
        <v>488631</v>
      </c>
      <c r="C48" s="9">
        <f>B48*(1-(1+B$40)^-B$41)/B$40</f>
        <v/>
      </c>
      <c r="F48" s="21" t="inlineStr">
        <is>
          <t>Closure_Model tab B49</t>
        </is>
      </c>
    </row>
    <row r="49">
      <c r="A49" s="3" t="inlineStr">
        <is>
          <t>Administration's claim, July 15, 2026</t>
        </is>
      </c>
      <c r="B49" s="8" t="n">
        <v>900000</v>
      </c>
      <c r="C49" s="9">
        <f>B49*(1-(1+B$40)^-B$41)/B$40</f>
        <v/>
      </c>
      <c r="F49" s="21" t="inlineStr">
        <is>
          <t>Unpublished derivation; reconcile with KDE-filed school-level spending</t>
        </is>
      </c>
    </row>
    <row r="50">
      <c r="A50" s="2" t="inlineStr">
        <is>
          <t>Only the administration's own number reaches $14 million. The audited excess cost supports about $1.6 million.</t>
        </is>
      </c>
    </row>
    <row r="52">
      <c r="A52" s="4" t="inlineStr">
        <is>
          <t>DISTRICT-PAID DEBT SERVICE SCHEDULE (FY2025 AUDIT, NOTE 4)</t>
        </is>
      </c>
    </row>
    <row r="53">
      <c r="A53" s="2" t="inlineStr">
        <is>
          <t>Payments fall as the 2013, 2016, and 2020 series retire; this falling schedule is the room a wrap-around structure fills</t>
        </is>
      </c>
    </row>
    <row r="54">
      <c r="A54" s="3" t="inlineStr">
        <is>
          <t>FY2026</t>
        </is>
      </c>
      <c r="B54" s="8" t="n">
        <v>1578700</v>
      </c>
    </row>
    <row r="55">
      <c r="A55" s="3" t="inlineStr">
        <is>
          <t>FY2027</t>
        </is>
      </c>
      <c r="B55" s="8" t="n">
        <v>1575060</v>
      </c>
    </row>
    <row r="56">
      <c r="A56" s="3" t="inlineStr">
        <is>
          <t>FY2028</t>
        </is>
      </c>
      <c r="B56" s="8" t="n">
        <v>1578719</v>
      </c>
    </row>
    <row r="57">
      <c r="A57" s="3" t="inlineStr">
        <is>
          <t>FY2029</t>
        </is>
      </c>
      <c r="B57" s="8" t="n">
        <v>1577258</v>
      </c>
    </row>
    <row r="58">
      <c r="A58" s="3" t="inlineStr">
        <is>
          <t>FY2030</t>
        </is>
      </c>
      <c r="B58" s="8" t="n">
        <v>1578340</v>
      </c>
    </row>
    <row r="59">
      <c r="A59" s="3" t="inlineStr">
        <is>
          <t>FY2031-35 average</t>
        </is>
      </c>
      <c r="B59" s="8" t="n">
        <v>1321112</v>
      </c>
    </row>
    <row r="60">
      <c r="A60" s="3" t="inlineStr">
        <is>
          <t>FY2036-40 average</t>
        </is>
      </c>
      <c r="B60" s="8" t="n">
        <v>398915</v>
      </c>
    </row>
    <row r="61">
      <c r="A61" s="3" t="inlineStr">
        <is>
          <t>FY2041-45 average</t>
        </is>
      </c>
      <c r="B61" s="8" t="n">
        <v>260708</v>
      </c>
    </row>
    <row r="63">
      <c r="A63" s="4" t="inlineStr">
        <is>
          <t>THE LEVERS THAT DO NOT CLOSE A SCHOOL</t>
        </is>
      </c>
    </row>
    <row r="64">
      <c r="A64" s="3" t="inlineStr">
        <is>
          <t>Remaining restricted capacity (FY2024 audit $23.5M less local share of the 2024 issue, approximate)</t>
        </is>
      </c>
      <c r="B64" s="8" t="n">
        <v>17600000</v>
      </c>
      <c r="F64" s="21" t="inlineStr">
        <is>
          <t>Exact figure is the fiscal agent's bonding potential statement; demand it</t>
        </is>
      </c>
    </row>
    <row r="65">
      <c r="A65" s="3" t="inlineStr">
        <is>
          <t>Certified real and personal property assessment, FY2025</t>
        </is>
      </c>
      <c r="B65" s="8" t="n">
        <v>1843569625</v>
      </c>
    </row>
    <row r="66">
      <c r="A66" s="3" t="inlineStr">
        <is>
          <t>Recallable nickel status: ALREADY LEVIED August 17, 2023, inside the existing rate</t>
        </is>
      </c>
      <c r="B66" s="2" t="inlineStr">
        <is>
          <t>levied</t>
        </is>
      </c>
      <c r="F66" s="21" t="inlineStr">
        <is>
          <t>KDE Nickel Levy Chart (March 2024) dates Bourbon's recallable levy 8/17/2023; KDE's levied-rates file (April 30, 2026) decomposes the 52.4-cent rate as 41.0 general fund + 5.7 FSPK + 5.7 recallable. Paris Independent, for scale: 71.5 cents with 17.4 recallable</t>
        </is>
      </c>
    </row>
    <row r="67">
      <c r="A67" s="3" t="inlineStr">
        <is>
          <t>New annual state equalization on the recallable nickel (full value, FY2027 schedule)</t>
        </is>
      </c>
      <c r="B67" s="8" t="n">
        <v>276246</v>
      </c>
      <c r="F67" s="21" t="inlineStr">
        <is>
          <t>Phasing in on KDE SEEK schedules: $82,866 FY2025, $55,515 FY2026, $276,246 FY2027. New restricted revenue, no board action required</t>
        </is>
      </c>
    </row>
    <row r="68">
      <c r="A68" s="3" t="inlineStr">
        <is>
          <t>Bonds the new equalization alone supports</t>
        </is>
      </c>
      <c r="B68" s="9">
        <f>B67*(1-(1+B40)^-B41)/B40</f>
        <v/>
      </c>
      <c r="F68" s="21" t="inlineStr">
        <is>
          <t>Additive to the FY2024 audit's bonding potential, which predates the equalization</t>
        </is>
      </c>
    </row>
    <row r="69">
      <c r="A69" s="3" t="inlineStr">
        <is>
          <t>SFCC offers of assistance, typical cycle</t>
        </is>
      </c>
      <c r="B69" s="8" t="n">
        <v>1750000</v>
      </c>
      <c r="F69" s="21" t="inlineStr">
        <is>
          <t>State already pays $1,568,809 of current principal</t>
        </is>
      </c>
    </row>
    <row r="71">
      <c r="A71" s="4" t="inlineStr">
        <is>
          <t>FY2026 YEAR-END, DISTRICT'S OWN KDE BUDGET MONITORING TOOL (UNAUDITED)</t>
        </is>
      </c>
    </row>
    <row r="72">
      <c r="A72" s="2" t="inlineStr">
        <is>
          <t>June 2026 financial packet, board agenda July 16, 2026; MUNIS run July 15, 2026. Audit will finalize these figures.</t>
        </is>
      </c>
    </row>
    <row r="73">
      <c r="A73" s="3" t="inlineStr">
        <is>
          <t>General Fund revenue, FY2026 actual (excludes carryforward and on-behalf)</t>
        </is>
      </c>
      <c r="B73" s="8" t="n">
        <v>22103877</v>
      </c>
    </row>
    <row r="74">
      <c r="A74" s="3" t="inlineStr">
        <is>
          <t>General Fund expenditures, FY2026 actual</t>
        </is>
      </c>
      <c r="B74" s="8" t="n">
        <v>22477866</v>
      </c>
    </row>
    <row r="75">
      <c r="A75" s="3" t="inlineStr">
        <is>
          <t>Net General Fund change, FY2026 (unaudited)</t>
        </is>
      </c>
      <c r="B75" s="31">
        <f>B73-B74</f>
        <v/>
      </c>
      <c r="F75" s="21" t="inlineStr">
        <is>
          <t>Compare net changes of -$1,065,657 in FY2024 and -$1,225,465 in FY2025 (audited)</t>
        </is>
      </c>
    </row>
    <row r="76">
      <c r="A76" s="3" t="inlineStr">
        <is>
          <t>Revenues over budget per the monitoring tool</t>
        </is>
      </c>
      <c r="B76" s="8" t="n">
        <v>2225835</v>
      </c>
    </row>
    <row r="77">
      <c r="A77" s="3" t="inlineStr">
        <is>
          <t>Salaries under budget per the monitoring tool</t>
        </is>
      </c>
      <c r="B77" s="8" t="n">
        <v>587592</v>
      </c>
    </row>
    <row r="78">
      <c r="A78" s="3" t="inlineStr">
        <is>
          <t>Salaries below FY2025 actuals</t>
        </is>
      </c>
      <c r="B78" s="8" t="n">
        <v>223974</v>
      </c>
    </row>
    <row r="79">
      <c r="A79" s="3" t="inlineStr">
        <is>
          <t>Caveat 1: miscellaneous revenue (object 1990) budgeted at zero, received</t>
        </is>
      </c>
      <c r="B79" s="8" t="n">
        <v>1567829</v>
      </c>
      <c r="F79" s="21" t="inlineStr">
        <is>
          <t>Unbudgeted even in the final amended budget; the district should identify this receipt on the record</t>
        </is>
      </c>
    </row>
    <row r="80">
      <c r="A80" s="3" t="inlineStr">
        <is>
          <t xml:space="preserve">  of which booked in June (period 12) alone</t>
        </is>
      </c>
      <c r="B80" s="8" t="n">
        <v>1413929</v>
      </c>
      <c r="F80" s="21" t="inlineStr">
        <is>
          <t>Months 1-11 produced $153,900 combined, a normal run rate; the balance sheet shows no receivable behind the June entry</t>
        </is>
      </c>
    </row>
    <row r="81">
      <c r="A81" s="3" t="inlineStr">
        <is>
          <t>Caveat 2: restricted capital money transferred INTO the General Fund in June 2026</t>
        </is>
      </c>
      <c r="B81" s="8" t="n">
        <v>1320939</v>
      </c>
      <c r="F81" s="21" t="inlineStr">
        <is>
          <t>Object 5210: $1,098,663 from the Building Fund (320) + $222,276 from Capital Outlay (310), which ended the year at $0 ($1,098,663 + $222,276 = $1,320,939 per the GF receipts ledger; the packet's fund 320 page records $1,098,633, a $30 internal discrepancy in the district's own packet). Lawful under budget-act capital funds flexibility. The Building Fund piece was budgeted from September 2025 ($1,120,203); the $222,276 Capital Outlay piece appears in no version of the FY2026 budget</t>
        </is>
      </c>
    </row>
    <row r="82">
      <c r="A82" s="3" t="inlineStr">
        <is>
          <t>Net change excluding the capital transfer</t>
        </is>
      </c>
      <c r="B82" s="9">
        <f>B73-B74-B81</f>
        <v/>
      </c>
      <c r="F82" s="21" t="inlineStr">
        <is>
          <t>About -$1.69 million: the operating result on operating revenue alone</t>
        </is>
      </c>
    </row>
    <row r="83">
      <c r="A83" s="3" t="inlineStr">
        <is>
          <t>Net change excluding the transfer and the unidentified June receipt</t>
        </is>
      </c>
      <c r="B83" s="9">
        <f>B73-B74-B81-B80</f>
        <v/>
      </c>
      <c r="F83" s="21" t="inlineStr">
        <is>
          <t>About -$3.11 million: the same range as the audited years</t>
        </is>
      </c>
    </row>
    <row r="84">
      <c r="A84" s="3" t="inlineStr">
        <is>
          <t>June 2026 General Fund revenue vs June 2025 (district's monitoring tool)</t>
        </is>
      </c>
      <c r="B84" s="8" t="n">
        <v>3923096</v>
      </c>
      <c r="C84" s="8" t="n">
        <v>1130736</v>
      </c>
      <c r="F84" s="21" t="inlineStr">
        <is>
          <t>The two June entries above are 98 percent of the year-over-year June difference</t>
        </is>
      </c>
    </row>
    <row r="85">
      <c r="A85" s="3" t="inlineStr">
        <is>
          <t>Variance identity from the packet: projected fund balance reconciles to the dollar</t>
        </is>
      </c>
      <c r="B85" s="9">
        <f>1489853+2225835+587592-224087</f>
        <v/>
      </c>
      <c r="F85" s="21" t="inlineStr">
        <is>
          <t>Contingency + revenue over budget + salary savings - expense overrun = $4,079,193, the tool's projected balance. The June misc entry is 63 percent of the revenue beat</t>
        </is>
      </c>
    </row>
    <row r="86">
      <c r="A86" s="4" t="inlineStr">
        <is>
          <t>BUILDING FUND FLOWS, FY2026 (fund 320, same packet)</t>
        </is>
      </c>
    </row>
    <row r="87">
      <c r="A87" s="3" t="inlineStr">
        <is>
          <t>Building Fund transfers out, FY2026 total</t>
        </is>
      </c>
      <c r="B87" s="8" t="n">
        <v>2481394</v>
      </c>
    </row>
    <row r="88">
      <c r="A88" s="3" t="inlineStr">
        <is>
          <t xml:space="preserve">  to Debt Service (fund 400)</t>
        </is>
      </c>
      <c r="B88" s="8" t="n">
        <v>1382761</v>
      </c>
    </row>
    <row r="89">
      <c r="A89" s="3" t="inlineStr">
        <is>
          <t xml:space="preserve">  to the General Fund (June 2026)</t>
        </is>
      </c>
      <c r="B89" s="9">
        <f>B87-B88</f>
        <v/>
      </c>
      <c r="F89" s="21" t="inlineStr">
        <is>
          <t>The residual after debt service. This is the restricted stream a $14 million bond would lean on; in FY2026 it plugged the operating budget instead</t>
        </is>
      </c>
    </row>
    <row r="90">
      <c r="A90" s="3" t="inlineStr">
        <is>
          <t>Bond capacity that residual supports at the same rate and term</t>
        </is>
      </c>
      <c r="B90" s="9">
        <f>B89*(1-(1+B40)^-B41)/B40</f>
        <v/>
      </c>
      <c r="F90" s="21" t="inlineStr">
        <is>
          <t>About $14 million: the plan's own target, carried by restricted money. The closure's role is only to replace the sweep, and any recurring million dollars does that</t>
        </is>
      </c>
    </row>
    <row r="92">
      <c r="A92" s="4" t="inlineStr">
        <is>
          <t>SCENARIO: BALANCE THE BUDGET AND EXPAND BONDING CAPACITY, NO CLOSURE</t>
        </is>
      </c>
    </row>
    <row r="93">
      <c r="A93" s="2" t="inlineStr">
        <is>
          <t>Two cases differ only in the operating gap assumed. Conservative treats the FY2026 $1.57M receipt as one-time;</t>
        </is>
      </c>
    </row>
    <row r="94">
      <c r="A94" s="2" t="inlineStr">
        <is>
          <t>trend uses the unaudited FY2026 net change. The sweep is ended in both cases; only genuine remainder services debt.</t>
        </is>
      </c>
    </row>
    <row r="95">
      <c r="B95" s="17" t="inlineStr">
        <is>
          <t>Conservative</t>
        </is>
      </c>
      <c r="C95" s="17" t="inlineStr">
        <is>
          <t>FY2026 trend</t>
        </is>
      </c>
    </row>
    <row r="96">
      <c r="A96" s="3" t="inlineStr">
        <is>
          <t>Operating gap to close first</t>
        </is>
      </c>
      <c r="B96" s="8" t="n">
        <v>1900000</v>
      </c>
      <c r="C96" s="8" t="n">
        <v>373989</v>
      </c>
      <c r="F96" s="21" t="inlineStr">
        <is>
          <t>Editable. $1.9M = FY2026 result excluding the unidentified receipt; $373,989 = FY2026 unaudited net change</t>
        </is>
      </c>
    </row>
    <row r="97">
      <c r="A97" s="3" t="inlineStr">
        <is>
          <t>New recurring revenue: 4 percent levy taken three years running</t>
        </is>
      </c>
      <c r="B97" s="18">
        <f>Tax_History!B32*(1.04^3-1)</f>
        <v/>
      </c>
      <c r="C97" s="18">
        <f>Tax_History!B32*(1.04^3-1)</f>
        <v/>
      </c>
      <c r="F97" s="21" t="inlineStr">
        <is>
          <t>Same base and compounding as the levy tab; year 1 is $313,162, year 3 cumulative $977,568</t>
        </is>
      </c>
    </row>
    <row r="98">
      <c r="A98" s="3" t="inlineStr">
        <is>
          <t>Recurring cost reductions, not from closing a school</t>
        </is>
      </c>
      <c r="B98" s="8" t="n">
        <v>1000000</v>
      </c>
      <c r="C98" s="8" t="n">
        <v>1000000</v>
      </c>
      <c r="F98" s="21" t="inlineStr">
        <is>
          <t>Editable. For scale from the FY2025 audit: district administration grew $221K in one year, salaries fell $224K through attrition, spending ran $859K under budget</t>
        </is>
      </c>
    </row>
    <row r="99">
      <c r="A99" s="3" t="inlineStr">
        <is>
          <t>End the capital-to-GF sweep (required before the building-fund residual can be pledged to new bonds)</t>
        </is>
      </c>
      <c r="B99" s="8" t="n">
        <v>1320939</v>
      </c>
      <c r="C99" s="8" t="n">
        <v>1320939</v>
      </c>
      <c r="F99" s="21" t="inlineStr">
        <is>
          <t>The FY2026 sweep is General Fund revenue today; pledging the residual means replacing it. Without this row the restricted stream would be counted twice</t>
        </is>
      </c>
    </row>
    <row r="100">
      <c r="A100" s="3" t="inlineStr">
        <is>
          <t>Operating room left for debt service after the budget balances and the sweep ends</t>
        </is>
      </c>
      <c r="B100" s="9">
        <f>MAX(0,B97+B98-B96-B99)</f>
        <v/>
      </c>
      <c r="C100" s="9">
        <f>MAX(0,C97+C98-C96-C99)</f>
        <v/>
      </c>
      <c r="F100" s="21" t="inlineStr">
        <is>
          <t>Trend case balances with about $283K to spare; the conservative case is still about $1.24M short, so its total below leans on equalization and existing restricted capacity only</t>
        </is>
      </c>
    </row>
    <row r="101">
      <c r="A101" s="3" t="inlineStr">
        <is>
          <t>General-fund bond capacity from that room</t>
        </is>
      </c>
      <c r="B101" s="9">
        <f>B100*(1-(1+B$40)^-B$41)/B$40</f>
        <v/>
      </c>
      <c r="C101" s="9">
        <f>C100*(1-(1+B$40)^-B$41)/B$40</f>
        <v/>
      </c>
    </row>
    <row r="102">
      <c r="A102" s="3" t="inlineStr">
        <is>
          <t>New state equalization on the already-levied recallable nickel</t>
        </is>
      </c>
      <c r="B102" s="8" t="n">
        <v>276246</v>
      </c>
      <c r="C102" s="8" t="n">
        <v>276246</v>
      </c>
      <c r="F102" s="21" t="inlineStr">
        <is>
          <t>FY2027 SEEK schedule; the recallable nickel itself is already levied and its local yield is already inside the building-fund stream above</t>
        </is>
      </c>
    </row>
    <row r="103">
      <c r="A103" s="3" t="inlineStr">
        <is>
          <t>Bond capacity from the new equalization</t>
        </is>
      </c>
      <c r="B103" s="9">
        <f>B102*(1-(1+B$40)^-B$41)/B$40</f>
        <v/>
      </c>
      <c r="C103" s="9">
        <f>C102*(1-(1+B$40)^-B$41)/B$40</f>
        <v/>
      </c>
    </row>
    <row r="104">
      <c r="A104" s="3" t="inlineStr">
        <is>
          <t>Existing unused restricted capacity, approximate</t>
        </is>
      </c>
      <c r="B104" s="8" t="n">
        <v>17600000</v>
      </c>
      <c r="C104" s="8" t="n">
        <v>17600000</v>
      </c>
      <c r="F104" s="21" t="inlineStr">
        <is>
          <t>FY2024 audit $23.5M less local share of the 2024 issue; fiscal agent's statement is the authority</t>
        </is>
      </c>
    </row>
    <row r="105">
      <c r="A105" s="22" t="inlineStr">
        <is>
          <t>Total capacity available without closing a school</t>
        </is>
      </c>
      <c r="B105" s="24">
        <f>B101+B103+B104</f>
        <v/>
      </c>
      <c r="C105" s="24">
        <f>C101+C103+C104</f>
        <v/>
      </c>
    </row>
    <row r="106">
      <c r="A106" s="2" t="inlineStr">
        <is>
          <t>Roughly $22.2 million in the conservative case and $42.1 million on the FY2026 trend, with the budget balanced</t>
        </is>
      </c>
    </row>
    <row r="107">
      <c r="A107" s="2" t="inlineStr">
        <is>
          <t>first in both. The administration's plan reaches $32 million at face value and leaves the deficit in place.</t>
        </is>
      </c>
    </row>
    <row r="108">
      <c r="A108" s="2" t="inlineStr">
        <is>
          <t>Floor check: even with zero general-fund room, the restricted capacity plus new equalization alone are about $21 million.</t>
        </is>
      </c>
    </row>
    <row r="109">
      <c r="A109" s="2" t="inlineStr">
        <is>
          <t>Pledging the building-fund residual to new bonds requires ending the capital-to-operations sweep documented above,</t>
        </is>
      </c>
    </row>
    <row r="110">
      <c r="A110" s="2" t="inlineStr">
        <is>
          <t>which is exactly what the administration's plan implies; the only question is which recurring million replaces it.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17" t="inlineStr">
        <is>
          <t>Projected ending General Fund balance</t>
        </is>
      </c>
      <c r="B4" s="17" t="inlineStr">
        <is>
          <t>FY2026</t>
        </is>
      </c>
      <c r="C4" s="17" t="inlineStr">
        <is>
          <t>FY2027</t>
        </is>
      </c>
      <c r="D4" s="17" t="inlineStr">
        <is>
          <t>FY2028</t>
        </is>
      </c>
      <c r="E4" s="17"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B6-GF_Summary!$D$16+0.5*Alternatives!$B$19</f>
        <v/>
      </c>
      <c r="D6" s="9">
        <f>C6-GF_Summary!$D$16+Alternatives!$B$19</f>
        <v/>
      </c>
      <c r="E6" s="9">
        <f>D6-GF_Summary!$D$16+Alternatives!$B$19</f>
        <v/>
      </c>
    </row>
    <row r="7">
      <c r="A7" s="3" t="inlineStr">
        <is>
          <t>Closure only (v4.2 central case, $54,539, from FY2027)</t>
        </is>
      </c>
      <c r="B7" s="9">
        <f>GF_Summary!D9-GF_Summary!$D$16</f>
        <v/>
      </c>
      <c r="C7" s="9">
        <f>B7-GF_Summary!$D$16+Closure_Model!$B$47</f>
        <v/>
      </c>
      <c r="D7" s="9">
        <f>C7-GF_Summary!$D$16+Closure_Model!$B$47</f>
        <v/>
      </c>
      <c r="E7" s="9">
        <f>D7-GF_Summary!$D$16+Closure_Model!$B$47</f>
        <v/>
      </c>
    </row>
    <row r="8">
      <c r="A8" s="3" t="inlineStr">
        <is>
          <t>2% contingency floor (approx., FY2025 basis)</t>
        </is>
      </c>
      <c r="B8" s="18">
        <f>GF_Summary!$D$14</f>
        <v/>
      </c>
      <c r="C8" s="18">
        <f>GF_Summary!$D$14</f>
        <v/>
      </c>
      <c r="D8" s="18">
        <f>GF_Summary!$D$14</f>
        <v/>
      </c>
      <c r="E8" s="18">
        <f>GF_Summary!$D$14</f>
        <v/>
      </c>
    </row>
    <row r="9">
      <c r="A9" s="21" t="inlineStr">
        <is>
          <t>Closure range check (v4.2): at the +$488,631 best case FY2029 ends near $1.2M; at the -$21,971 median the reserves go slightly FASTER than status quo; 55 percent of scenarios lose money and drain reserves faster than doing nothing.</t>
        </is>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17" t="inlineStr">
        <is>
          <t>Plan</t>
        </is>
      </c>
      <c r="B4" s="17" t="inlineStr">
        <is>
          <t>Recurring GF impact ($/yr, by yr 3)</t>
        </is>
      </c>
      <c r="C4" s="17" t="inlineStr">
        <is>
          <t>Projected FY2029 balance</t>
        </is>
      </c>
      <c r="D4" s="17" t="inlineStr">
        <is>
          <t>One-time costs</t>
        </is>
      </c>
      <c r="E4" s="17"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18">
        <f>Closure_Model!B20</f>
        <v/>
      </c>
      <c r="C6" s="9">
        <f>Runway!E7</f>
        <v/>
      </c>
      <c r="D6" s="2" t="inlineStr">
        <is>
          <t>Unpublished</t>
        </is>
      </c>
      <c r="E6" s="2" t="inlineStr">
        <is>
          <t>Closure vote; the v3 central case covers 5.0% of the gap (10.8% at the base case, 21.3% at the favorable tail); longer rides; enrollment-loss risk</t>
        </is>
      </c>
    </row>
    <row r="7">
      <c r="A7" s="3" t="inlineStr">
        <is>
          <t>3. Districtwide recovery plan (menu plus levy; includes rebalancing and growing NMES)</t>
        </is>
      </c>
      <c r="B7" s="18">
        <f>Alternatives!B19</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11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13" customWidth="1" min="5" max="5"/>
    <col width="13" customWidth="1" min="6" max="6"/>
    <col width="48" customWidth="1" min="7" max="7"/>
  </cols>
  <sheetData>
    <row r="1">
      <c r="A1" s="1" t="inlineStr">
        <is>
          <t>Property Tax Rates, Fund Split, Delinquency, and the 4% Option</t>
        </is>
      </c>
    </row>
    <row r="2">
      <c r="A2" s="2" t="inlineStr">
        <is>
          <t>Backs Section 9 and Figure 18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29" t="n">
        <v>61.3</v>
      </c>
      <c r="G5" s="21" t="inlineStr">
        <is>
          <t>2019 documented as the board taking the 4% option (Bourbon County Citizen, 9/4/2019); other years' rate type undetermined pending KDE levy files</t>
        </is>
      </c>
    </row>
    <row r="6">
      <c r="A6" s="3" t="inlineStr">
        <is>
          <t>2019</t>
        </is>
      </c>
      <c r="B6" s="29" t="n">
        <v>60.6</v>
      </c>
    </row>
    <row r="7">
      <c r="A7" s="3" t="inlineStr">
        <is>
          <t>2020</t>
        </is>
      </c>
      <c r="B7" s="29" t="n">
        <v>55.9</v>
      </c>
    </row>
    <row r="8">
      <c r="A8" s="3" t="inlineStr">
        <is>
          <t>2021</t>
        </is>
      </c>
      <c r="B8" s="29" t="n">
        <v>54.2</v>
      </c>
    </row>
    <row r="9">
      <c r="A9" s="3" t="inlineStr">
        <is>
          <t>2022</t>
        </is>
      </c>
      <c r="B9" s="29" t="n">
        <v>49.2</v>
      </c>
    </row>
    <row r="10">
      <c r="A10" s="3" t="inlineStr">
        <is>
          <t>2023</t>
        </is>
      </c>
      <c r="B10" s="29" t="n">
        <v>52.4</v>
      </c>
    </row>
    <row r="11">
      <c r="A11" s="3" t="inlineStr">
        <is>
          <t>2024</t>
        </is>
      </c>
      <c r="B11" s="29" t="n">
        <v>52.4</v>
      </c>
    </row>
    <row r="12">
      <c r="A12" s="3" t="inlineStr">
        <is>
          <t>2025</t>
        </is>
      </c>
      <c r="B12" s="29" t="n">
        <v>52.4</v>
      </c>
    </row>
    <row r="14">
      <c r="A14" s="3" t="inlineStr">
        <is>
          <t>Tangible/personal rate (recent)</t>
        </is>
      </c>
      <c r="B14" s="29" t="n">
        <v>64.5</v>
      </c>
    </row>
    <row r="15">
      <c r="A15" s="3" t="inlineStr">
        <is>
          <t>Motor vehicle rate</t>
        </is>
      </c>
      <c r="B15" s="29" t="n">
        <v>54.7</v>
      </c>
    </row>
    <row r="16">
      <c r="A16" s="3" t="inlineStr">
        <is>
          <t>Utility gross receipts</t>
        </is>
      </c>
      <c r="B16" s="13" t="n">
        <v>0.03</v>
      </c>
    </row>
    <row r="18">
      <c r="A18" s="4" t="inlineStr">
        <is>
          <t>AREA DISTRICTS, LEVIED REAL ESTATE RATE 2024-25</t>
        </is>
      </c>
    </row>
    <row r="19">
      <c r="A19" s="3" t="inlineStr">
        <is>
          <t>Fayette County</t>
        </is>
      </c>
      <c r="B19" s="29"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29" t="n">
        <v>71.5</v>
      </c>
    </row>
    <row r="21">
      <c r="A21" s="3" t="inlineStr">
        <is>
          <t>Clark County</t>
        </is>
      </c>
      <c r="B21" s="29" t="n">
        <v>66.8</v>
      </c>
    </row>
    <row r="22">
      <c r="A22" s="3" t="inlineStr">
        <is>
          <t>Bath County</t>
        </is>
      </c>
      <c r="B22" s="29" t="n">
        <v>63.4</v>
      </c>
    </row>
    <row r="23">
      <c r="A23" s="3" t="inlineStr">
        <is>
          <t>Scott County</t>
        </is>
      </c>
      <c r="B23" s="29" t="n">
        <v>62.9</v>
      </c>
    </row>
    <row r="24">
      <c r="A24" s="3" t="inlineStr">
        <is>
          <t>Harrison County</t>
        </is>
      </c>
      <c r="B24" s="29" t="n">
        <v>57.7</v>
      </c>
    </row>
    <row r="25">
      <c r="A25" s="3" t="inlineStr">
        <is>
          <t>Montgomery County</t>
        </is>
      </c>
      <c r="B25" s="29" t="n">
        <v>52.5</v>
      </c>
    </row>
    <row r="26">
      <c r="A26" s="3" t="inlineStr">
        <is>
          <t>Bourbon County</t>
        </is>
      </c>
      <c r="B26" s="29" t="n">
        <v>52.4</v>
      </c>
    </row>
    <row r="27">
      <c r="A27" s="3" t="inlineStr">
        <is>
          <t>Nicholas County</t>
        </is>
      </c>
      <c r="B27" s="29" t="n">
        <v>43.1</v>
      </c>
    </row>
    <row r="28">
      <c r="A28" s="3" t="inlineStr">
        <is>
          <t>Statewide school average (DOR Table II, 2025)</t>
        </is>
      </c>
      <c r="B28" s="29"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9">
        <f>B32/B38</f>
        <v/>
      </c>
    </row>
    <row r="41">
      <c r="A41" s="4" t="inlineStr">
        <is>
          <t>DELINQUENCY CHECK (collections vs certified yield)</t>
        </is>
      </c>
      <c r="B41" s="22" t="inlineStr">
        <is>
          <t>FY2024</t>
        </is>
      </c>
      <c r="C41" s="22"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9">
        <f>B44/B42</f>
        <v/>
      </c>
      <c r="C45" s="19">
        <f>C44/C42</f>
        <v/>
      </c>
    </row>
    <row r="47">
      <c r="A47" s="4" t="inlineStr">
        <is>
          <t>FOUR PERCENT OPTION, THREE-YEAR PATH (KRS 160.470)</t>
        </is>
      </c>
    </row>
    <row r="48">
      <c r="A48" s="3" t="inlineStr">
        <is>
          <t>Base: FY2025 General Fund real + personal collections</t>
        </is>
      </c>
      <c r="B48" s="18">
        <f>B32</f>
        <v/>
      </c>
      <c r="G48" s="21" t="inlineStr">
        <is>
          <t>Basis: 4% more revenue from EXISTING real + personal property than the compensating rate, on the GENERAL FUND levy only. The restricted building-fund (FSPK, $2,052,786) and debt levies are excluded because that money cannot pay operating costs, the same restricted-funds rule this report applies to closure.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9">
        <f>B53/(Assumptions!B24-Assumptions!B21)</f>
        <v/>
      </c>
    </row>
    <row r="56">
      <c r="A56" s="4" t="inlineStr">
        <is>
          <t>FOURTEEN YEARS OF LEVIED RATES, NINE AREA DISTRICTS (KDE Local District Tax Levies files, Total Real Estate column; cross-checked against DOR rate books 2024-2025, all nine reconcile exactly; archived as build/ky_levy_history_2012_2026.csv)</t>
        </is>
      </c>
    </row>
    <row r="57">
      <c r="A57" s="17" t="inlineStr">
        <is>
          <t>District</t>
        </is>
      </c>
      <c r="B57" s="17" t="inlineStr">
        <is>
          <t>2012-13</t>
        </is>
      </c>
      <c r="C57" s="17" t="inlineStr">
        <is>
          <t>2013-14</t>
        </is>
      </c>
      <c r="D57" s="17" t="inlineStr">
        <is>
          <t>2014-15</t>
        </is>
      </c>
      <c r="E57" s="17" t="inlineStr">
        <is>
          <t>2015-16</t>
        </is>
      </c>
      <c r="F57" s="17" t="inlineStr">
        <is>
          <t>2016-17</t>
        </is>
      </c>
      <c r="G57" s="17" t="inlineStr">
        <is>
          <t>2017-18</t>
        </is>
      </c>
      <c r="H57" s="17" t="inlineStr">
        <is>
          <t>2018-19</t>
        </is>
      </c>
      <c r="I57" s="17" t="inlineStr">
        <is>
          <t>2019-20</t>
        </is>
      </c>
      <c r="J57" s="17" t="inlineStr">
        <is>
          <t>2020-21</t>
        </is>
      </c>
      <c r="K57" s="17" t="inlineStr">
        <is>
          <t>2021-22</t>
        </is>
      </c>
      <c r="L57" s="17" t="inlineStr">
        <is>
          <t>2022-23</t>
        </is>
      </c>
      <c r="M57" s="17" t="inlineStr">
        <is>
          <t>2023-24</t>
        </is>
      </c>
      <c r="N57" s="17" t="inlineStr">
        <is>
          <t>2024-25</t>
        </is>
      </c>
      <c r="O57" s="17" t="inlineStr">
        <is>
          <t>2025-26</t>
        </is>
      </c>
      <c r="P57" s="17" t="inlineStr">
        <is>
          <t>Change</t>
        </is>
      </c>
    </row>
    <row r="58">
      <c r="A58" s="3" t="inlineStr">
        <is>
          <t>Bath</t>
        </is>
      </c>
      <c r="B58" s="29" t="n">
        <v>36.8</v>
      </c>
      <c r="C58" s="29" t="n">
        <v>44</v>
      </c>
      <c r="D58" s="29" t="n">
        <v>44.2</v>
      </c>
      <c r="E58" s="29" t="n">
        <v>44.8</v>
      </c>
      <c r="F58" s="29" t="n">
        <v>44.8</v>
      </c>
      <c r="G58" s="29" t="n">
        <v>47.2</v>
      </c>
      <c r="H58" s="29" t="n">
        <v>52.6</v>
      </c>
      <c r="I58" s="29" t="n">
        <v>52.6</v>
      </c>
      <c r="J58" s="29" t="n">
        <v>52.6</v>
      </c>
      <c r="K58" s="29" t="n">
        <v>52.4</v>
      </c>
      <c r="L58" s="29" t="n">
        <v>54.1</v>
      </c>
      <c r="M58" s="29" t="n">
        <v>57.8</v>
      </c>
      <c r="N58" s="29" t="n">
        <v>60.7</v>
      </c>
      <c r="O58" s="29" t="n">
        <v>63.4</v>
      </c>
      <c r="P58" s="33">
        <f>(O58/B58-1)</f>
        <v/>
      </c>
    </row>
    <row r="59">
      <c r="A59" s="3" t="inlineStr">
        <is>
          <t>Scott</t>
        </is>
      </c>
      <c r="B59" s="29" t="n">
        <v>45.3</v>
      </c>
      <c r="C59" s="29" t="n">
        <v>47.2</v>
      </c>
      <c r="D59" s="29" t="n">
        <v>47.6</v>
      </c>
      <c r="E59" s="29" t="n">
        <v>49</v>
      </c>
      <c r="F59" s="29" t="n">
        <v>49.6</v>
      </c>
      <c r="G59" s="29" t="n">
        <v>56.4</v>
      </c>
      <c r="H59" s="29" t="n">
        <v>56.4</v>
      </c>
      <c r="I59" s="29" t="n">
        <v>57.1</v>
      </c>
      <c r="J59" s="29" t="n">
        <v>57.6</v>
      </c>
      <c r="K59" s="29" t="n">
        <v>58.1</v>
      </c>
      <c r="L59" s="29" t="n">
        <v>58.1</v>
      </c>
      <c r="M59" s="29" t="n">
        <v>62.8</v>
      </c>
      <c r="N59" s="29" t="n">
        <v>62.9</v>
      </c>
      <c r="O59" s="29" t="n">
        <v>62.9</v>
      </c>
      <c r="P59" s="33">
        <f>(O59/B59-1)</f>
        <v/>
      </c>
    </row>
    <row r="60">
      <c r="A60" s="3" t="inlineStr">
        <is>
          <t>Harrison</t>
        </is>
      </c>
      <c r="B60" s="29" t="n">
        <v>43</v>
      </c>
      <c r="C60" s="29" t="n">
        <v>45.2</v>
      </c>
      <c r="D60" s="29" t="n">
        <v>47.2</v>
      </c>
      <c r="E60" s="29" t="n">
        <v>47.3</v>
      </c>
      <c r="F60" s="29" t="n">
        <v>49</v>
      </c>
      <c r="G60" s="29" t="n">
        <v>50.5</v>
      </c>
      <c r="H60" s="29" t="n">
        <v>50.5</v>
      </c>
      <c r="I60" s="29" t="n">
        <v>51.7</v>
      </c>
      <c r="J60" s="29" t="n">
        <v>51.7</v>
      </c>
      <c r="K60" s="29" t="n">
        <v>57.7</v>
      </c>
      <c r="L60" s="29" t="n">
        <v>57.7</v>
      </c>
      <c r="M60" s="29" t="n">
        <v>57.7</v>
      </c>
      <c r="N60" s="29" t="n">
        <v>57.7</v>
      </c>
      <c r="O60" s="29" t="n">
        <v>57.7</v>
      </c>
      <c r="P60" s="33">
        <f>(O60/B60-1)</f>
        <v/>
      </c>
    </row>
    <row r="61">
      <c r="A61" s="3" t="inlineStr">
        <is>
          <t>Clark</t>
        </is>
      </c>
      <c r="B61" s="29" t="n">
        <v>53.6</v>
      </c>
      <c r="C61" s="29" t="n">
        <v>55.9</v>
      </c>
      <c r="D61" s="29" t="n">
        <v>57.4</v>
      </c>
      <c r="E61" s="29" t="n">
        <v>60</v>
      </c>
      <c r="F61" s="29" t="n">
        <v>62.2</v>
      </c>
      <c r="G61" s="29" t="n">
        <v>62.2</v>
      </c>
      <c r="H61" s="29" t="n">
        <v>62.2</v>
      </c>
      <c r="I61" s="29" t="n">
        <v>63.7</v>
      </c>
      <c r="J61" s="29" t="n">
        <v>63.7</v>
      </c>
      <c r="K61" s="29" t="n">
        <v>64.90000000000001</v>
      </c>
      <c r="L61" s="29" t="n">
        <v>65.90000000000001</v>
      </c>
      <c r="M61" s="29" t="n">
        <v>67.5</v>
      </c>
      <c r="N61" s="29" t="n">
        <v>66.8</v>
      </c>
      <c r="O61" s="29" t="n">
        <v>65.5</v>
      </c>
      <c r="P61" s="33">
        <f>(O61/B61-1)</f>
        <v/>
      </c>
    </row>
    <row r="62">
      <c r="A62" s="3" t="inlineStr">
        <is>
          <t>Fayette</t>
        </is>
      </c>
      <c r="B62" s="29" t="n">
        <v>67.40000000000001</v>
      </c>
      <c r="C62" s="29" t="n">
        <v>69.59999999999999</v>
      </c>
      <c r="D62" s="29" t="n">
        <v>71.90000000000001</v>
      </c>
      <c r="E62" s="29" t="n">
        <v>74</v>
      </c>
      <c r="F62" s="29" t="n">
        <v>75</v>
      </c>
      <c r="G62" s="29" t="n">
        <v>75</v>
      </c>
      <c r="H62" s="29" t="n">
        <v>81</v>
      </c>
      <c r="I62" s="29" t="n">
        <v>81</v>
      </c>
      <c r="J62" s="29" t="n">
        <v>81</v>
      </c>
      <c r="K62" s="29" t="n">
        <v>80.8</v>
      </c>
      <c r="L62" s="29" t="n">
        <v>83.3</v>
      </c>
      <c r="M62" s="29" t="n">
        <v>81</v>
      </c>
      <c r="N62" s="29" t="n">
        <v>80.90000000000001</v>
      </c>
      <c r="O62" s="29" t="n">
        <v>79.8</v>
      </c>
      <c r="P62" s="33">
        <f>(O62/B62-1)</f>
        <v/>
      </c>
    </row>
    <row r="63">
      <c r="A63" s="3" t="inlineStr">
        <is>
          <t>Paris Ind</t>
        </is>
      </c>
      <c r="B63" s="29" t="n">
        <v>61</v>
      </c>
      <c r="C63" s="29" t="n">
        <v>64.09999999999999</v>
      </c>
      <c r="D63" s="29" t="n">
        <v>66.5</v>
      </c>
      <c r="E63" s="29" t="n">
        <v>69</v>
      </c>
      <c r="F63" s="29" t="n">
        <v>71.59999999999999</v>
      </c>
      <c r="G63" s="29" t="n">
        <v>74.40000000000001</v>
      </c>
      <c r="H63" s="29" t="n">
        <v>78.3</v>
      </c>
      <c r="I63" s="29" t="n">
        <v>80.40000000000001</v>
      </c>
      <c r="J63" s="29" t="n">
        <v>68.7</v>
      </c>
      <c r="K63" s="29" t="n">
        <v>74.5</v>
      </c>
      <c r="L63" s="29" t="n">
        <v>71.5</v>
      </c>
      <c r="M63" s="29" t="n">
        <v>71.5</v>
      </c>
      <c r="N63" s="29" t="n">
        <v>71.5</v>
      </c>
      <c r="O63" s="29" t="n">
        <v>71.5</v>
      </c>
      <c r="P63" s="33">
        <f>(O63/B63-1)</f>
        <v/>
      </c>
    </row>
    <row r="64">
      <c r="A64" s="3" t="inlineStr">
        <is>
          <t>Nicholas</t>
        </is>
      </c>
      <c r="B64" s="29" t="n">
        <v>38.4</v>
      </c>
      <c r="C64" s="29" t="n">
        <v>38.7</v>
      </c>
      <c r="D64" s="29" t="n">
        <v>38.5</v>
      </c>
      <c r="E64" s="29" t="n">
        <v>38.3</v>
      </c>
      <c r="F64" s="29" t="n">
        <v>38.5</v>
      </c>
      <c r="G64" s="29" t="n">
        <v>39.5</v>
      </c>
      <c r="H64" s="29" t="n">
        <v>39.6</v>
      </c>
      <c r="I64" s="29" t="n">
        <v>41</v>
      </c>
      <c r="J64" s="29" t="n">
        <v>40.1</v>
      </c>
      <c r="K64" s="29" t="n">
        <v>40.2</v>
      </c>
      <c r="L64" s="29" t="n">
        <v>41.4</v>
      </c>
      <c r="M64" s="29" t="n">
        <v>42.5</v>
      </c>
      <c r="N64" s="29" t="n">
        <v>43.6</v>
      </c>
      <c r="O64" s="29" t="n">
        <v>43.1</v>
      </c>
      <c r="P64" s="33">
        <f>(O64/B64-1)</f>
        <v/>
      </c>
    </row>
    <row r="65">
      <c r="A65" s="3" t="inlineStr">
        <is>
          <t>Montgomery</t>
        </is>
      </c>
      <c r="B65" s="29" t="n">
        <v>49.4</v>
      </c>
      <c r="C65" s="29" t="n">
        <v>49.4</v>
      </c>
      <c r="D65" s="29" t="n">
        <v>49</v>
      </c>
      <c r="E65" s="29" t="n">
        <v>48.9</v>
      </c>
      <c r="F65" s="29" t="n">
        <v>50.8</v>
      </c>
      <c r="G65" s="29" t="n">
        <v>51.3</v>
      </c>
      <c r="H65" s="29" t="n">
        <v>52.8</v>
      </c>
      <c r="I65" s="29" t="n">
        <v>52.3</v>
      </c>
      <c r="J65" s="29" t="n">
        <v>52.3</v>
      </c>
      <c r="K65" s="29" t="n">
        <v>52.3</v>
      </c>
      <c r="L65" s="29" t="n">
        <v>52.2</v>
      </c>
      <c r="M65" s="29" t="n">
        <v>52.4</v>
      </c>
      <c r="N65" s="29" t="n">
        <v>52.5</v>
      </c>
      <c r="O65" s="29" t="n">
        <v>52.5</v>
      </c>
      <c r="P65" s="33">
        <f>(O65/B65-1)</f>
        <v/>
      </c>
    </row>
    <row r="66">
      <c r="A66" s="3" t="inlineStr">
        <is>
          <t>Bourbon Co</t>
        </is>
      </c>
      <c r="B66" s="29" t="n">
        <v>55.4</v>
      </c>
      <c r="C66" s="29" t="n">
        <v>57.6</v>
      </c>
      <c r="D66" s="29" t="n">
        <v>57.3</v>
      </c>
      <c r="E66" s="29" t="n">
        <v>59.1</v>
      </c>
      <c r="F66" s="29" t="n">
        <v>58.8</v>
      </c>
      <c r="G66" s="29" t="n">
        <v>60</v>
      </c>
      <c r="H66" s="29" t="n">
        <v>61.3</v>
      </c>
      <c r="I66" s="29" t="n">
        <v>60.6</v>
      </c>
      <c r="J66" s="29" t="n">
        <v>55.9</v>
      </c>
      <c r="K66" s="29" t="n">
        <v>54.2</v>
      </c>
      <c r="L66" s="29" t="n">
        <v>49.2</v>
      </c>
      <c r="M66" s="29" t="n">
        <v>52.4</v>
      </c>
      <c r="N66" s="29" t="n">
        <v>52.4</v>
      </c>
      <c r="O66" s="29" t="n">
        <v>52.4</v>
      </c>
      <c r="P66" s="33">
        <f>(O66/B66-1)</f>
        <v/>
      </c>
    </row>
    <row r="68">
      <c r="A68" s="21" t="inlineStr">
        <is>
          <t>Bourbon County is the only district in the region whose levied rate is lower today than in tax year 2012 (55.4 down to 52.4, minus 5.4 percent); Bath rose 72.3 percent, Scott 38.9, Harrison 34.2, Clark 22.2, Fayette 18.4, Paris Independent 17.2. Honesty notes: these are levied RATES, not revenue effort; under HB 44 the compensating rate falls as assessments grow, so the chart nets each board's levy choices against its assessment growth. Bourbon took the 4 percent option in 5 of the last 12 years (KDE levied-type file); the rate fell anyway because the other years took compensating or less, including the 12-cent slide of 2018-2022. Neighbors that rose took the 4 percent 7 to 9 times over the same window.</t>
        </is>
      </c>
    </row>
    <row r="70">
      <c r="A70" s="4" t="inlineStr">
        <is>
          <t>BEYOND THE 4 PERCENT: THE RECALLABLE LEVY OPTIONS (KRS 160.470; backs the levy card and Section 9)</t>
        </is>
      </c>
    </row>
    <row r="71">
      <c r="A71" s="3" t="inlineStr">
        <is>
          <t>General Fund share of the levied 52.4 cents (KDE levied-rates file: 41.0 GF + 5.7 FSPK + 5.7 recallable)</t>
        </is>
      </c>
      <c r="B71" s="29" t="n">
        <v>41</v>
      </c>
    </row>
    <row r="72">
      <c r="A72" s="3" t="inlineStr">
        <is>
          <t>Yield per cent of General Fund rate, per year</t>
        </is>
      </c>
      <c r="B72" s="9">
        <f>B32/B71</f>
        <v/>
      </c>
      <c r="G72" s="21" t="inlineStr">
        <is>
          <t>FY2025 GF collections divided by the 41.0 GF cents: about $191,000 per cent. Real and personal property only; tangible and motor vehicle rates untouched, so every figure below is conservative</t>
        </is>
      </c>
    </row>
    <row r="73">
      <c r="A73" s="3" t="inlineStr">
        <is>
          <t>Median owner-occupied home value, Bourbon County (Census ACS 2019-2023, table B25077)</t>
        </is>
      </c>
      <c r="B73" s="8" t="n">
        <v>211600</v>
      </c>
    </row>
    <row r="74">
      <c r="A74" s="3" t="inlineStr">
        <is>
          <t>Cost per added cent to that household, per year</t>
        </is>
      </c>
      <c r="B74" s="34">
        <f>B73*0.01/100</f>
        <v/>
      </c>
      <c r="G74" s="21" t="inlineStr">
        <is>
          <t>$21.16 a year, $1.76 a month, per added cent. Homestead exemption shields about $46,000 of a senior homeowner's value; farmland is assessed at agricultural use value, not market; renters pay only what landlords pass through</t>
        </is>
      </c>
    </row>
    <row r="76">
      <c r="A76" s="17" t="inlineStr">
        <is>
          <t>Option</t>
        </is>
      </c>
      <c r="B76" s="17" t="inlineStr">
        <is>
          <t>New rate</t>
        </is>
      </c>
      <c r="C76" s="17" t="inlineStr">
        <is>
          <t>Added cents</t>
        </is>
      </c>
      <c r="D76" s="17" t="inlineStr">
        <is>
          <t>Revenue per year</t>
        </is>
      </c>
      <c r="E76" s="17" t="inlineStr">
        <is>
          <t>Median-home cost/yr</t>
        </is>
      </c>
      <c r="F76" s="17" t="inlineStr">
        <is>
          <t>Direct bond capacity</t>
        </is>
      </c>
    </row>
    <row r="77">
      <c r="A77" s="3" t="inlineStr">
        <is>
          <t>Match Harrison County (2025-26 levied rate)</t>
        </is>
      </c>
      <c r="B77" s="20">
        <f>B24</f>
        <v/>
      </c>
      <c r="C77" s="35">
        <f>B77-B12</f>
        <v/>
      </c>
      <c r="D77" s="9">
        <f>C77*$B$72</f>
        <v/>
      </c>
      <c r="E77" s="9">
        <f>C77*$B$74</f>
        <v/>
      </c>
      <c r="F77" s="9">
        <f>D77*(1-(1+Debt_Service!B40)^-Debt_Service!B41)/Debt_Service!B40</f>
        <v/>
      </c>
      <c r="G77" s="21" t="inlineStr">
        <is>
          <t>Rates pulled live from this tab: Harrison row 24, the 2025-26 columns of the levy table, and Bourbon's own 2018 row. Direct bond capacity uses the Debt_Service tab's 4.5 percent, 20-year assumption, the same one that prices the $14 million nickel-residual bond</t>
        </is>
      </c>
    </row>
    <row r="78">
      <c r="A78" s="3" t="inlineStr">
        <is>
          <t>Match the regional median (eight area districts, Fayette excluded)</t>
        </is>
      </c>
      <c r="B78" s="20">
        <f>MEDIAN(O58,O59,O60,O61,O63,O64,O65,O66)</f>
        <v/>
      </c>
      <c r="C78" s="35">
        <f>B78-B12</f>
        <v/>
      </c>
      <c r="D78" s="9">
        <f>C78*$B$72</f>
        <v/>
      </c>
      <c r="E78" s="9">
        <f>C78*$B$74</f>
        <v/>
      </c>
      <c r="F78" s="9">
        <f>D78*(1-(1+Debt_Service!B40)^-Debt_Service!B41)/Debt_Service!B40</f>
        <v/>
      </c>
    </row>
    <row r="79">
      <c r="A79" s="3" t="inlineStr">
        <is>
          <t>Restore Bourbon's own 2018 rate</t>
        </is>
      </c>
      <c r="B79" s="20">
        <f>B5</f>
        <v/>
      </c>
      <c r="C79" s="35">
        <f>B79-B12</f>
        <v/>
      </c>
      <c r="D79" s="9">
        <f>C79*$B$72</f>
        <v/>
      </c>
      <c r="E79" s="9">
        <f>C79*$B$74</f>
        <v/>
      </c>
      <c r="F79" s="9">
        <f>D79*(1-(1+Debt_Service!B40)^-Debt_Service!B41)/Debt_Service!B40</f>
        <v/>
      </c>
    </row>
    <row r="80">
      <c r="A80" s="3" t="inlineStr">
        <is>
          <t>Match Clark County (2025-26 levied rate)</t>
        </is>
      </c>
      <c r="B80" s="20">
        <f>O61</f>
        <v/>
      </c>
      <c r="C80" s="35">
        <f>B80-B12</f>
        <v/>
      </c>
      <c r="D80" s="9">
        <f>C80*$B$72</f>
        <v/>
      </c>
      <c r="E80" s="9">
        <f>C80*$B$74</f>
        <v/>
      </c>
      <c r="F80" s="9">
        <f>D80*(1-(1+Debt_Service!B40)^-Debt_Service!B41)/Debt_Service!B40</f>
        <v/>
      </c>
    </row>
    <row r="82">
      <c r="A82" s="4" t="inlineStr">
        <is>
          <t>THE SEQUENCE: BALANCE THE BUDGET FIRST, THEN BOND</t>
        </is>
      </c>
    </row>
    <row r="83">
      <c r="A83" s="3" t="inlineStr">
        <is>
          <t>First call on new recurring money: operating gap (FY2026 trend) plus ending the capital-to-GF sweep</t>
        </is>
      </c>
      <c r="B83" s="9">
        <f>Debt_Service!C96+Debt_Service!B99</f>
        <v/>
      </c>
      <c r="G83" s="21" t="inlineStr">
        <is>
          <t>$373,989 gap plus the $1,320,939 sweep = $1,694,928. Ending the sweep is what frees the building-fund residual to service new bonds</t>
        </is>
      </c>
    </row>
    <row r="84">
      <c r="A84" s="3" t="inlineStr">
        <is>
          <t>Revenue from restoring the 2018 rate</t>
        </is>
      </c>
      <c r="B84" s="9">
        <f>D79</f>
        <v/>
      </c>
    </row>
    <row r="85">
      <c r="A85" s="3" t="inlineStr">
        <is>
          <t>Margin after the gap is closed and the sweep ended</t>
        </is>
      </c>
      <c r="B85" s="23">
        <f>B84-B83</f>
        <v/>
      </c>
      <c r="G85" s="21" t="inlineStr">
        <is>
          <t>About $4,551. The rate this board itself levied in 2018 is, almost to the dollar, the make-the-General-Fund-stand-alone rate</t>
        </is>
      </c>
    </row>
    <row r="86">
      <c r="A86" s="3" t="inlineStr">
        <is>
          <t>Capacity unlocked once the sweep ends: nickel-residual bond</t>
        </is>
      </c>
      <c r="B86" s="9">
        <f>Debt_Service!B90</f>
        <v/>
      </c>
    </row>
    <row r="87">
      <c r="A87" s="3" t="inlineStr">
        <is>
          <t xml:space="preserve">  plus remaining restricted capacity (FY2024 audit less the 2024 issue)</t>
        </is>
      </c>
      <c r="B87" s="9">
        <f>Debt_Service!B64</f>
        <v/>
      </c>
    </row>
    <row r="88">
      <c r="A88" s="3" t="inlineStr">
        <is>
          <t xml:space="preserve">  plus bonds the new nickel equalization supports</t>
        </is>
      </c>
      <c r="B88" s="9">
        <f>Debt_Service!B68</f>
        <v/>
      </c>
    </row>
    <row r="89">
      <c r="A89" s="3" t="inlineStr">
        <is>
          <t>Construction capacity unlocked without pledging a cent of the new levy</t>
        </is>
      </c>
      <c r="B89" s="23">
        <f>B86+B87+B88</f>
        <v/>
      </c>
      <c r="G89" s="21" t="inlineStr">
        <is>
          <t>Roughly $35 million, for $15.69 a month on the median home, with nothing closed. The Harrison and median options are honest partial steps, leaving about $680,000 and $190,000 a year to find from the alternatives menu before the sweep can end; the Clark option adds about $10.5 million more direct capacity from its surplus</t>
        </is>
      </c>
    </row>
    <row r="91">
      <c r="A91" s="21" t="inlineStr">
        <is>
          <t>None of these is a recommendation of a particular number, and none is counted in the alternatives package total. The point is narrower: a menu of options exists between cut nothing and close a school, every one prices out larger than the most generous closure estimate, and every one carries a built-in democratic check. A levy above 4 percent can be recalled by the voters it taxes. A closed school cannot be recalled by the children it displaces. This community was offered that veto twice on the facilities nickels and twice declined to use it; it has never been offered the same vote on the operating levy that pays teachers.</t>
        </is>
      </c>
    </row>
    <row r="93">
      <c r="A93" s="4" t="inlineStr">
        <is>
          <t>HOUSE BILL 44: THE 4 PERCENT IS A LIMIT ON REVENUE, NOT ON THE RATE (backs Section 11 and Question 2)</t>
        </is>
      </c>
    </row>
    <row r="94">
      <c r="A94" s="3" t="inlineStr">
        <is>
          <t>Certified real and personal property assessment, FY2025 (audit)</t>
        </is>
      </c>
      <c r="B94" s="8" t="n">
        <v>1843569625</v>
      </c>
    </row>
    <row r="95">
      <c r="A95" s="3" t="inlineStr">
        <is>
          <t>General Fund rate levied, cents per $100</t>
        </is>
      </c>
      <c r="B95" s="30">
        <f>B71</f>
        <v/>
      </c>
    </row>
    <row r="96">
      <c r="A96" s="3" t="inlineStr">
        <is>
          <t>General Fund revenue at that rate on that assessment</t>
        </is>
      </c>
      <c r="B96" s="9">
        <f>B94*B95/100/100</f>
        <v/>
      </c>
      <c r="G96" s="21" t="inlineStr">
        <is>
          <t>$7,558,635 on the certified assessment. Actual FY2025 GF tax collections were $7,829,060; the gap is motor vehicle and other classes plus collection timing, and it does not move any percentage below</t>
        </is>
      </c>
    </row>
    <row r="98">
      <c r="A98" s="17" t="inlineStr">
        <is>
          <t>Assessment growth</t>
        </is>
      </c>
      <c r="B98" s="17" t="inlineStr">
        <is>
          <t>Compensating rate</t>
        </is>
      </c>
      <c r="C98" s="17" t="inlineStr">
        <is>
          <t>4 percent option</t>
        </is>
      </c>
      <c r="D98" s="17" t="inlineStr">
        <is>
          <t>Rate raised 4 percent</t>
        </is>
      </c>
      <c r="E98" s="17" t="inlineStr">
        <is>
          <t>Revenue at 4 percent option</t>
        </is>
      </c>
      <c r="F98" s="17" t="inlineStr">
        <is>
          <t>Revenue at rate x 1.04</t>
        </is>
      </c>
      <c r="G98" s="17" t="inlineStr">
        <is>
          <t>Above the ceiling, recallable</t>
        </is>
      </c>
    </row>
    <row r="99">
      <c r="A99" s="36" t="n">
        <v>0</v>
      </c>
      <c r="B99" s="30">
        <f>$B$95/(1+A99)</f>
        <v/>
      </c>
      <c r="C99" s="30">
        <f>B99*1.04</f>
        <v/>
      </c>
      <c r="D99" s="30">
        <f>$B$95*1.04</f>
        <v/>
      </c>
      <c r="E99" s="9">
        <f>$B$94*(1+A99)*C99/100/100</f>
        <v/>
      </c>
      <c r="F99" s="9">
        <f>$B$94*(1+A99)*D99/100/100</f>
        <v/>
      </c>
      <c r="G99" s="23">
        <f>F99-E99</f>
        <v/>
      </c>
    </row>
    <row r="100">
      <c r="A100" s="36" t="n">
        <v>0.03</v>
      </c>
      <c r="B100" s="30">
        <f>$B$95/(1+A100)</f>
        <v/>
      </c>
      <c r="C100" s="30">
        <f>B100*1.04</f>
        <v/>
      </c>
      <c r="D100" s="30">
        <f>$B$95*1.04</f>
        <v/>
      </c>
      <c r="E100" s="9">
        <f>$B$94*(1+A100)*C100/100/100</f>
        <v/>
      </c>
      <c r="F100" s="9">
        <f>$B$94*(1+A100)*D100/100/100</f>
        <v/>
      </c>
      <c r="G100" s="23">
        <f>F100-E100</f>
        <v/>
      </c>
    </row>
    <row r="101">
      <c r="A101" s="36" t="n">
        <v>0.05</v>
      </c>
      <c r="B101" s="30">
        <f>$B$95/(1+A101)</f>
        <v/>
      </c>
      <c r="C101" s="30">
        <f>B101*1.04</f>
        <v/>
      </c>
      <c r="D101" s="30">
        <f>$B$95*1.04</f>
        <v/>
      </c>
      <c r="E101" s="9">
        <f>$B$94*(1+A101)*C101/100/100</f>
        <v/>
      </c>
      <c r="F101" s="9">
        <f>$B$94*(1+A101)*D101/100/100</f>
        <v/>
      </c>
      <c r="G101" s="23">
        <f>F101-E101</f>
        <v/>
      </c>
    </row>
    <row r="102">
      <c r="A102" s="36" t="n">
        <v>0.07000000000000001</v>
      </c>
      <c r="B102" s="30">
        <f>$B$95/(1+A102)</f>
        <v/>
      </c>
      <c r="C102" s="30">
        <f>B102*1.04</f>
        <v/>
      </c>
      <c r="D102" s="30">
        <f>$B$95*1.04</f>
        <v/>
      </c>
      <c r="E102" s="9">
        <f>$B$94*(1+A102)*C102/100/100</f>
        <v/>
      </c>
      <c r="F102" s="9">
        <f>$B$94*(1+A102)*D102/100/100</f>
        <v/>
      </c>
      <c r="G102" s="23">
        <f>F102-E102</f>
        <v/>
      </c>
    </row>
    <row r="104">
      <c r="A104" s="21" t="inlineStr">
        <is>
          <t>Read row 101, five percent growth: the largest rate the board can levy with no recall exposure is 40.61 cents, BELOW the 41.0 it levies now, and it still collects four percent more revenue. Column E is flat at every growth rate because the four percent is a revenue limit; column D is flat because it is a rate rule. The naive rate overshoots the protected rate by exactly the assessment growth rate, so the two coincide only at zero growth. New-construction revenue sits outside the cap and is additional; any rate above the compensating rate requires a public hearing; the two facilities nickels are separate from this General Fund table. KRS 132.010, KRS 132.017, KRS 160.470, read as a layperson, not as legal advice.</t>
        </is>
      </c>
    </row>
    <row r="106">
      <c r="A106" s="21" t="inlineStr">
        <is>
          <t>What this settles, and what it does not: a flat or falling levied rate is not evidence either way about whether the four percent option was taken, because taking it in a county with rising assessments produces a falling rate. KDE's levied-type file shows Bourbon took the option in five of the last twelve years against seven, eight and nine for the neighbors that rose. The document that closes the question is the certified compensating rate against the rate actually levied, each year, and it is on the records list.</t>
        </is>
      </c>
    </row>
    <row r="108">
      <c r="A108" s="4" t="inlineStr">
        <is>
          <t>THE 2023 RATE MOVEMENT: 3.2 CENTS NET, 5.7 CENTS RESTRICTED IN</t>
        </is>
      </c>
    </row>
    <row r="109">
      <c r="A109" s="3" t="inlineStr">
        <is>
          <t>Total levied rate, tax year 2022</t>
        </is>
      </c>
      <c r="B109" s="29" t="n">
        <v>49.2</v>
      </c>
    </row>
    <row r="110">
      <c r="A110" s="3" t="inlineStr">
        <is>
          <t>Total levied rate, tax year 2023 (held at 52.4 for three years since)</t>
        </is>
      </c>
      <c r="B110" s="29" t="n">
        <v>52.4</v>
      </c>
    </row>
    <row r="111">
      <c r="A111" s="3" t="inlineStr">
        <is>
          <t>Net change</t>
        </is>
      </c>
      <c r="B111" s="35">
        <f>B110-B109</f>
        <v/>
      </c>
    </row>
    <row r="112">
      <c r="A112" s="3" t="inlineStr">
        <is>
          <t>Recallable facilities nickel levied 8/17/2023 (KDE levied-rates file, current year)</t>
        </is>
      </c>
      <c r="B112" s="29" t="n">
        <v>5.7</v>
      </c>
    </row>
    <row r="113">
      <c r="A113" s="3" t="inlineStr">
        <is>
          <t>Implied change in the rest of the rate</t>
        </is>
      </c>
      <c r="B113" s="37">
        <f>B111-B112</f>
        <v/>
      </c>
    </row>
    <row r="114">
      <c r="A114" s="3" t="inlineStr">
        <is>
          <t>Implied annual change in unrestricted revenue</t>
        </is>
      </c>
      <c r="B114" s="23">
        <f>B113*B72</f>
        <v/>
      </c>
      <c r="G114" s="21" t="inlineStr">
        <is>
          <t>About -2.5 cents, roughly -$477,000 a year. INFERENCE, NOT A DOCUMENT: KDE does not publish the year-by-year rate-type split, and a facilities nickel is an equivalent rate restated annually against the whole property base, so it drifts. The certified split by year is requested in Appendix B. What is not in doubt: the levy that rose in 2023 was restricted building money that cannot lawfully pay a teacher</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9">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14)</t>
        </is>
      </c>
    </row>
    <row r="33">
      <c r="A33" s="3" t="inlineStr">
        <is>
          <t>Peak enrollment (1988-89)</t>
        </is>
      </c>
      <c r="B33" s="11">
        <f>MAX(F33:F51,I33:I50)</f>
        <v/>
      </c>
      <c r="E33" s="22" t="inlineStr">
        <is>
          <t>1989</t>
        </is>
      </c>
      <c r="F33" s="10" t="n">
        <v>261</v>
      </c>
      <c r="H33" s="22" t="inlineStr">
        <is>
          <t>2008</t>
        </is>
      </c>
      <c r="I33" s="10" t="n">
        <v>224</v>
      </c>
      <c r="J33" s="21" t="inlineStr">
        <is>
          <t>1989-2014 compiled by PublicSchoolReview from federal data; 2015-2025 match NCES directly</t>
        </is>
      </c>
    </row>
    <row r="34">
      <c r="A34" s="3" t="inlineStr">
        <is>
          <t>Latest official count (2024-25)</t>
        </is>
      </c>
      <c r="B34" s="11">
        <f>I50</f>
        <v/>
      </c>
      <c r="E34" s="22" t="inlineStr">
        <is>
          <t>1990</t>
        </is>
      </c>
      <c r="F34" s="10" t="n">
        <v>255</v>
      </c>
      <c r="H34" s="22" t="inlineStr">
        <is>
          <t>2009</t>
        </is>
      </c>
      <c r="I34" s="10" t="n">
        <v>217</v>
      </c>
    </row>
    <row r="35">
      <c r="A35" s="3" t="inlineStr">
        <is>
          <t>Decline from peak</t>
        </is>
      </c>
      <c r="B35" s="11">
        <f>B33-B34</f>
        <v/>
      </c>
      <c r="E35" s="22" t="inlineStr">
        <is>
          <t>1991</t>
        </is>
      </c>
      <c r="F35" s="10" t="n">
        <v>234</v>
      </c>
      <c r="H35" s="22" t="inlineStr">
        <is>
          <t>2010</t>
        </is>
      </c>
      <c r="I35" s="10" t="n">
        <v>177</v>
      </c>
    </row>
    <row r="36">
      <c r="A36" s="3" t="inlineStr">
        <is>
          <t>Decline as a share of peak</t>
        </is>
      </c>
      <c r="B36" s="19">
        <f>B35/B33</f>
        <v/>
      </c>
      <c r="E36" s="22" t="inlineStr">
        <is>
          <t>1992</t>
        </is>
      </c>
      <c r="F36" s="10" t="n">
        <v>225</v>
      </c>
      <c r="H36" s="22" t="inlineStr">
        <is>
          <t>2011</t>
        </is>
      </c>
      <c r="I36" s="10" t="n">
        <v>165</v>
      </c>
    </row>
    <row r="37">
      <c r="A37" s="3" t="inlineStr">
        <is>
          <t>Current rated capacity</t>
        </is>
      </c>
      <c r="B37" s="25">
        <f>Assumptions!B12</f>
        <v/>
      </c>
      <c r="E37" s="22" t="inlineStr">
        <is>
          <t>1993</t>
        </is>
      </c>
      <c r="F37" s="10" t="n">
        <v>202</v>
      </c>
      <c r="H37" s="22" t="inlineStr">
        <is>
          <t>2012</t>
        </is>
      </c>
      <c r="I37" s="10" t="n">
        <v>167</v>
      </c>
    </row>
    <row r="38">
      <c r="E38" s="22" t="inlineStr">
        <is>
          <t>1994</t>
        </is>
      </c>
      <c r="F38" s="10" t="n">
        <v>203</v>
      </c>
      <c r="H38" s="22" t="inlineStr">
        <is>
          <t>2013</t>
        </is>
      </c>
      <c r="I38" s="10" t="n">
        <v>154</v>
      </c>
    </row>
    <row r="39">
      <c r="E39" s="22" t="inlineStr">
        <is>
          <t>1995</t>
        </is>
      </c>
      <c r="F39" s="10" t="n">
        <v>182</v>
      </c>
      <c r="H39" s="22" t="inlineStr">
        <is>
          <t>2014</t>
        </is>
      </c>
      <c r="I39" s="10" t="n">
        <v>154</v>
      </c>
    </row>
    <row r="40">
      <c r="E40" s="22" t="inlineStr">
        <is>
          <t>1996</t>
        </is>
      </c>
      <c r="F40" s="10" t="n">
        <v>196</v>
      </c>
      <c r="H40" s="22" t="inlineStr">
        <is>
          <t>2015</t>
        </is>
      </c>
      <c r="I40" s="10" t="n">
        <v>155</v>
      </c>
    </row>
    <row r="41">
      <c r="E41" s="22" t="inlineStr">
        <is>
          <t>1997</t>
        </is>
      </c>
      <c r="F41" s="10" t="n">
        <v>208</v>
      </c>
      <c r="H41" s="22" t="inlineStr">
        <is>
          <t>2016</t>
        </is>
      </c>
      <c r="I41" s="10" t="n">
        <v>154</v>
      </c>
    </row>
    <row r="42">
      <c r="E42" s="22" t="inlineStr">
        <is>
          <t>1998</t>
        </is>
      </c>
      <c r="F42" s="10" t="n">
        <v>198</v>
      </c>
      <c r="H42" s="22" t="inlineStr">
        <is>
          <t>2017</t>
        </is>
      </c>
      <c r="I42" s="10" t="n">
        <v>131</v>
      </c>
    </row>
    <row r="43">
      <c r="E43" s="22" t="inlineStr">
        <is>
          <t>1999</t>
        </is>
      </c>
      <c r="F43" s="10" t="n">
        <v>205</v>
      </c>
      <c r="H43" s="22" t="inlineStr">
        <is>
          <t>2018</t>
        </is>
      </c>
      <c r="I43" s="10" t="n">
        <v>131</v>
      </c>
    </row>
    <row r="44">
      <c r="E44" s="22" t="inlineStr">
        <is>
          <t>2000</t>
        </is>
      </c>
      <c r="F44" s="10" t="n">
        <v>195</v>
      </c>
      <c r="H44" s="22" t="inlineStr">
        <is>
          <t>2019</t>
        </is>
      </c>
      <c r="I44" s="10" t="n">
        <v>160</v>
      </c>
    </row>
    <row r="45">
      <c r="E45" s="22" t="inlineStr">
        <is>
          <t>2001</t>
        </is>
      </c>
      <c r="F45" s="10" t="n">
        <v>195</v>
      </c>
      <c r="H45" s="22" t="inlineStr">
        <is>
          <t>2020</t>
        </is>
      </c>
      <c r="I45" s="10" t="n">
        <v>160</v>
      </c>
    </row>
    <row r="46">
      <c r="E46" s="22" t="inlineStr">
        <is>
          <t>2002</t>
        </is>
      </c>
      <c r="F46" s="10" t="n">
        <v>203</v>
      </c>
      <c r="H46" s="22" t="inlineStr">
        <is>
          <t>2021</t>
        </is>
      </c>
      <c r="I46" s="10" t="n">
        <v>148</v>
      </c>
    </row>
    <row r="47">
      <c r="E47" s="22" t="inlineStr">
        <is>
          <t>2003</t>
        </is>
      </c>
      <c r="F47" s="10" t="n">
        <v>196</v>
      </c>
      <c r="H47" s="22" t="inlineStr">
        <is>
          <t>2022</t>
        </is>
      </c>
      <c r="I47" s="10" t="n">
        <v>153</v>
      </c>
    </row>
    <row r="48">
      <c r="E48" s="22" t="inlineStr">
        <is>
          <t>2004</t>
        </is>
      </c>
      <c r="F48" s="10" t="n">
        <v>206</v>
      </c>
      <c r="H48" s="22" t="inlineStr">
        <is>
          <t>2023</t>
        </is>
      </c>
      <c r="I48" s="10" t="n">
        <v>145</v>
      </c>
    </row>
    <row r="49">
      <c r="E49" s="22" t="inlineStr">
        <is>
          <t>2005</t>
        </is>
      </c>
      <c r="F49" s="10" t="n">
        <v>204</v>
      </c>
      <c r="H49" s="22" t="inlineStr">
        <is>
          <t>2024</t>
        </is>
      </c>
      <c r="I49" s="10" t="n">
        <v>135</v>
      </c>
    </row>
    <row r="50">
      <c r="E50" s="22" t="inlineStr">
        <is>
          <t>2006</t>
        </is>
      </c>
      <c r="F50" s="10" t="n">
        <v>199</v>
      </c>
      <c r="H50" s="22" t="inlineStr">
        <is>
          <t>2025</t>
        </is>
      </c>
      <c r="I50" s="10" t="n">
        <v>128</v>
      </c>
    </row>
    <row r="51">
      <c r="E51" s="22"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62"/>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The 2007-2025 series below is SchoolDigger's normalized 0-100 index built from KDE test data (a third-party rendering, kept for context). KDE's own official record, pulled directly from the department's historical files, is in the KDE OFFICIAL HISTORY block below and governs every claim in the report.</t>
        </is>
      </c>
    </row>
    <row r="4">
      <c r="A4" s="4" t="inlineStr">
        <is>
          <t>NMES ENROLLMENT BY SCHOOL YEAR (backs Figure 14)</t>
        </is>
      </c>
    </row>
    <row r="5">
      <c r="A5" s="22" t="inlineStr">
        <is>
          <t>School year</t>
        </is>
      </c>
      <c r="B5" s="22" t="inlineStr">
        <is>
          <t>'15-16</t>
        </is>
      </c>
      <c r="C5" s="22" t="inlineStr">
        <is>
          <t>'16-17</t>
        </is>
      </c>
      <c r="D5" s="22" t="inlineStr">
        <is>
          <t>'17-18</t>
        </is>
      </c>
      <c r="E5" s="22" t="inlineStr">
        <is>
          <t>'18-19</t>
        </is>
      </c>
      <c r="F5" s="22" t="inlineStr">
        <is>
          <t>'19-20</t>
        </is>
      </c>
      <c r="G5" s="22" t="inlineStr">
        <is>
          <t>'20-21</t>
        </is>
      </c>
      <c r="H5" s="22" t="inlineStr">
        <is>
          <t>'21-22</t>
        </is>
      </c>
      <c r="I5" s="22" t="inlineStr">
        <is>
          <t>'22-23</t>
        </is>
      </c>
      <c r="J5" s="22" t="inlineStr">
        <is>
          <t>'23-24</t>
        </is>
      </c>
      <c r="K5" s="22"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6 and 7)</t>
        </is>
      </c>
    </row>
    <row r="14">
      <c r="A14" s="22" t="inlineStr">
        <is>
          <t>School (district)</t>
        </is>
      </c>
      <c r="B14" s="22" t="inlineStr">
        <is>
          <t>2007</t>
        </is>
      </c>
      <c r="C14" s="22" t="inlineStr">
        <is>
          <t>2008</t>
        </is>
      </c>
      <c r="D14" s="22" t="inlineStr">
        <is>
          <t>2009</t>
        </is>
      </c>
      <c r="E14" s="22" t="inlineStr">
        <is>
          <t>2010</t>
        </is>
      </c>
      <c r="F14" s="22" t="inlineStr">
        <is>
          <t>2011</t>
        </is>
      </c>
      <c r="G14" s="22" t="inlineStr">
        <is>
          <t>2012</t>
        </is>
      </c>
      <c r="H14" s="22" t="inlineStr">
        <is>
          <t>2013</t>
        </is>
      </c>
      <c r="I14" s="22" t="inlineStr">
        <is>
          <t>2014</t>
        </is>
      </c>
      <c r="J14" s="22" t="inlineStr">
        <is>
          <t>2015</t>
        </is>
      </c>
      <c r="K14" s="22" t="inlineStr">
        <is>
          <t>2016</t>
        </is>
      </c>
      <c r="L14" s="22" t="inlineStr">
        <is>
          <t>2017</t>
        </is>
      </c>
      <c r="M14" s="22" t="inlineStr">
        <is>
          <t>2018</t>
        </is>
      </c>
      <c r="N14" s="22" t="inlineStr">
        <is>
          <t>2019</t>
        </is>
      </c>
      <c r="O14" s="22" t="inlineStr">
        <is>
          <t>2021</t>
        </is>
      </c>
      <c r="P14" s="22" t="inlineStr">
        <is>
          <t>2022</t>
        </is>
      </c>
      <c r="Q14" s="22" t="inlineStr">
        <is>
          <t>2023</t>
        </is>
      </c>
      <c r="R14" s="22" t="inlineStr">
        <is>
          <t>2024</t>
        </is>
      </c>
      <c r="S14" s="22"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29" t="n">
        <v>56.5</v>
      </c>
      <c r="C15" s="29" t="n">
        <v>63.9</v>
      </c>
      <c r="D15" s="29" t="n">
        <v>68.59999999999999</v>
      </c>
      <c r="E15" s="29" t="n">
        <v>87.90000000000001</v>
      </c>
      <c r="F15" s="29" t="n">
        <v>85.8</v>
      </c>
      <c r="G15" s="29" t="n">
        <v>72.5</v>
      </c>
      <c r="H15" s="29" t="n">
        <v>67.59999999999999</v>
      </c>
      <c r="I15" s="29" t="n">
        <v>56.6</v>
      </c>
      <c r="J15" s="29" t="n">
        <v>56.9</v>
      </c>
      <c r="K15" s="29" t="n">
        <v>48.7</v>
      </c>
      <c r="L15" s="29" t="n">
        <v>49.3</v>
      </c>
      <c r="M15" s="29" t="n">
        <v>40</v>
      </c>
      <c r="N15" s="29" t="n">
        <v>50.4</v>
      </c>
      <c r="P15" s="29" t="n">
        <v>47.7</v>
      </c>
      <c r="Q15" s="29" t="n">
        <v>32.1</v>
      </c>
      <c r="R15" s="29" t="n">
        <v>54.1</v>
      </c>
      <c r="S15" s="29" t="n">
        <v>58.2</v>
      </c>
    </row>
    <row r="16">
      <c r="A16" s="3" t="inlineStr">
        <is>
          <t>Bourbon Central (Bourbon Co.)</t>
        </is>
      </c>
      <c r="B16" s="29" t="n">
        <v>77.5</v>
      </c>
      <c r="C16" s="29" t="n">
        <v>81.90000000000001</v>
      </c>
      <c r="D16" s="29" t="n">
        <v>72.59999999999999</v>
      </c>
      <c r="E16" s="29" t="n">
        <v>69.59999999999999</v>
      </c>
      <c r="F16" s="29" t="n">
        <v>63</v>
      </c>
      <c r="G16" s="29" t="n">
        <v>74.7</v>
      </c>
      <c r="H16" s="29" t="n">
        <v>67.59999999999999</v>
      </c>
      <c r="I16" s="29" t="n">
        <v>51.8</v>
      </c>
      <c r="J16" s="29" t="n">
        <v>52.1</v>
      </c>
      <c r="K16" s="29" t="n">
        <v>30</v>
      </c>
      <c r="L16" s="29" t="n">
        <v>34</v>
      </c>
      <c r="M16" s="29" t="n">
        <v>32.8</v>
      </c>
      <c r="N16" s="29" t="n">
        <v>39.9</v>
      </c>
      <c r="O16" s="29" t="n">
        <v>20</v>
      </c>
      <c r="P16" s="29" t="n">
        <v>29.9</v>
      </c>
      <c r="Q16" s="29" t="n">
        <v>29</v>
      </c>
      <c r="R16" s="29" t="n">
        <v>23.8</v>
      </c>
      <c r="S16" s="29" t="n">
        <v>26.5</v>
      </c>
    </row>
    <row r="17">
      <c r="A17" s="3" t="inlineStr">
        <is>
          <t>Cane Ridge (Bourbon Co.)</t>
        </is>
      </c>
      <c r="B17" s="29" t="n">
        <v>35.2</v>
      </c>
      <c r="C17" s="29" t="n">
        <v>50.9</v>
      </c>
      <c r="D17" s="29" t="n">
        <v>56.2</v>
      </c>
      <c r="E17" s="29" t="n">
        <v>65.5</v>
      </c>
      <c r="F17" s="29" t="n">
        <v>34.5</v>
      </c>
      <c r="G17" s="29" t="n">
        <v>34</v>
      </c>
      <c r="H17" s="29" t="n">
        <v>49.6</v>
      </c>
      <c r="I17" s="29" t="n">
        <v>51</v>
      </c>
      <c r="J17" s="29" t="n">
        <v>51.1</v>
      </c>
      <c r="K17" s="29" t="n">
        <v>57.5</v>
      </c>
      <c r="L17" s="29" t="n">
        <v>50.4</v>
      </c>
      <c r="M17" s="29" t="n">
        <v>41.4</v>
      </c>
      <c r="N17" s="29" t="n">
        <v>38.8</v>
      </c>
      <c r="O17" s="29" t="n">
        <v>23.8</v>
      </c>
      <c r="P17" s="29" t="n">
        <v>38.7</v>
      </c>
      <c r="Q17" s="29" t="n">
        <v>34.6</v>
      </c>
      <c r="R17" s="29" t="n">
        <v>35.8</v>
      </c>
      <c r="S17" s="29" t="n">
        <v>19.3</v>
      </c>
    </row>
    <row r="18">
      <c r="A18" s="3" t="inlineStr">
        <is>
          <t>Paris Elementary (Paris Indep.)</t>
        </is>
      </c>
      <c r="R18" s="29" t="n">
        <v>16.8</v>
      </c>
      <c r="S18" s="29" t="n">
        <v>12.2</v>
      </c>
    </row>
    <row r="19">
      <c r="A19" s="3" t="inlineStr">
        <is>
          <t>Shearer (Clark Co.)</t>
        </is>
      </c>
      <c r="R19" s="29" t="n">
        <v>30.7</v>
      </c>
      <c r="S19" s="29" t="n">
        <v>42.3</v>
      </c>
    </row>
    <row r="20">
      <c r="A20" s="3" t="inlineStr">
        <is>
          <t>Justice (Clark Co.)</t>
        </is>
      </c>
      <c r="R20" s="29" t="n">
        <v>43.2</v>
      </c>
      <c r="S20" s="29" t="n">
        <v>39.3</v>
      </c>
    </row>
    <row r="21">
      <c r="A21" s="3" t="inlineStr">
        <is>
          <t>Strode Station (Clark Co.)</t>
        </is>
      </c>
      <c r="R21" s="29" t="n">
        <v>43.2</v>
      </c>
      <c r="S21" s="29" t="n">
        <v>34.2</v>
      </c>
    </row>
    <row r="22">
      <c r="A22" s="3" t="inlineStr">
        <is>
          <t>Conkwright (Clark Co.)</t>
        </is>
      </c>
      <c r="R22" s="29" t="n">
        <v>15.6</v>
      </c>
      <c r="S22" s="29" t="n">
        <v>17.5</v>
      </c>
    </row>
    <row r="23">
      <c r="A23" s="3" t="inlineStr">
        <is>
          <t>Northview (Montgomery Co.)</t>
        </is>
      </c>
      <c r="R23" s="29" t="n">
        <v>67.40000000000001</v>
      </c>
      <c r="S23" s="29" t="n">
        <v>68.90000000000001</v>
      </c>
    </row>
    <row r="24">
      <c r="A24" s="3" t="inlineStr">
        <is>
          <t>Mapleton (Montgomery Co.)</t>
        </is>
      </c>
      <c r="R24" s="29" t="n">
        <v>65.90000000000001</v>
      </c>
      <c r="S24" s="29" t="n">
        <v>65.09999999999999</v>
      </c>
    </row>
    <row r="25">
      <c r="A25" s="3" t="inlineStr">
        <is>
          <t>Nicholas County Elementary (Nicholas Co.)</t>
        </is>
      </c>
      <c r="R25" s="29" t="n">
        <v>15.9</v>
      </c>
      <c r="T25" s="2" t="inlineStr">
        <is>
          <t>Nicholas County: 2024 value; 2025 not retrieved</t>
        </is>
      </c>
    </row>
    <row r="26">
      <c r="A26" s="3" t="inlineStr">
        <is>
          <t>Three-year average, 2023-2025: NMES / Bourbon Central / Cane Ridge</t>
        </is>
      </c>
      <c r="B26" s="20">
        <f>AVERAGE(Q15:S15)</f>
        <v/>
      </c>
      <c r="C26" s="20">
        <f>AVERAGE(Q16:S16)</f>
        <v/>
      </c>
      <c r="D26" s="20">
        <f>AVERAGE(Q17:S17)</f>
        <v/>
      </c>
    </row>
    <row r="28">
      <c r="A28" s="4" t="inlineStr">
        <is>
          <t>NMES DETAIL, 2024-25 (backs Section 5)</t>
        </is>
      </c>
    </row>
    <row r="29">
      <c r="B29" s="22" t="inlineStr">
        <is>
          <t>NMES</t>
        </is>
      </c>
      <c r="C29" s="22"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4" t="inlineStr">
        <is>
          <t>KDE 2024-25 KSA, PERCENT PROFICIENT OR DISTINGUISHED, ALL STUDENTS (build/kde_ksa_2024_25.json)</t>
        </is>
      </c>
      <c r="B33" s="13" t="n">
        <v>0.53</v>
      </c>
      <c r="C33" s="13" t="n">
        <v>0.37</v>
      </c>
    </row>
    <row r="34">
      <c r="A34" s="17" t="inlineStr">
        <is>
          <t>Subject</t>
        </is>
      </c>
      <c r="B34" s="38" t="inlineStr">
        <is>
          <t>NMES</t>
        </is>
      </c>
      <c r="C34" s="17" t="inlineStr">
        <is>
          <t>Bourbon Central</t>
        </is>
      </c>
      <c r="D34" s="17" t="inlineStr">
        <is>
          <t>Cane Ridge</t>
        </is>
      </c>
      <c r="E34" s="17" t="inlineStr">
        <is>
          <t>Paris Elem.</t>
        </is>
      </c>
      <c r="F34" s="17" t="inlineStr">
        <is>
          <t>KY elementary avg</t>
        </is>
      </c>
    </row>
    <row r="35">
      <c r="A35" s="2" t="inlineStr">
        <is>
          <t>Reading</t>
        </is>
      </c>
      <c r="B35" s="10" t="n">
        <v>41</v>
      </c>
      <c r="C35" s="10" t="n">
        <v>38</v>
      </c>
      <c r="D35" s="10" t="n">
        <v>37</v>
      </c>
      <c r="E35" s="10" t="n">
        <v>25</v>
      </c>
      <c r="F35" s="10" t="n">
        <v>49</v>
      </c>
    </row>
    <row r="36">
      <c r="A36" s="2" t="inlineStr">
        <is>
          <t>Mathematics</t>
        </is>
      </c>
      <c r="B36" s="10" t="n">
        <v>31</v>
      </c>
      <c r="C36" s="10" t="n">
        <v>28</v>
      </c>
      <c r="D36" s="10" t="n">
        <v>27</v>
      </c>
      <c r="E36" s="10" t="n">
        <v>29</v>
      </c>
      <c r="F36" s="10" t="n">
        <v>43</v>
      </c>
    </row>
    <row r="37">
      <c r="A37" s="2" t="inlineStr">
        <is>
          <t>Science</t>
        </is>
      </c>
      <c r="B37" s="10" t="n">
        <v>53</v>
      </c>
      <c r="C37" s="10" t="n">
        <v>26</v>
      </c>
      <c r="D37" s="5" t="inlineStr">
        <is>
          <t>*</t>
        </is>
      </c>
      <c r="E37" s="5" t="inlineStr">
        <is>
          <t>*</t>
        </is>
      </c>
      <c r="F37" s="10" t="n">
        <v>37</v>
      </c>
    </row>
    <row r="38">
      <c r="A38" s="2" t="inlineStr">
        <is>
          <t>Social Studies</t>
        </is>
      </c>
      <c r="B38" s="10" t="n">
        <v>36</v>
      </c>
      <c r="C38" s="10" t="n">
        <v>31</v>
      </c>
      <c r="D38" s="10" t="n">
        <v>27</v>
      </c>
      <c r="E38" s="10" t="n">
        <v>22</v>
      </c>
      <c r="F38" s="10" t="n">
        <v>38</v>
      </c>
    </row>
    <row r="39">
      <c r="A39" s="2" t="inlineStr">
        <is>
          <t>Combined Writing</t>
        </is>
      </c>
      <c r="B39" s="10" t="n">
        <v>56</v>
      </c>
      <c r="C39" s="10" t="n">
        <v>40</v>
      </c>
      <c r="D39" s="10" t="n">
        <v>27</v>
      </c>
      <c r="E39" s="10" t="n">
        <v>4</v>
      </c>
      <c r="F39" s="10" t="n">
        <v>43</v>
      </c>
    </row>
    <row r="41">
      <c r="A41" s="21" t="inlineStr">
        <is>
          <t>NMES is first among all four county elementary schools in every subject and beats the statewide elementary average in science and writing. Asterisks = state-suppressed cells.</t>
        </is>
      </c>
    </row>
    <row r="43">
      <c r="A43" s="4" t="inlineStr">
        <is>
          <t>KDE OFFICIAL HISTORY, 2011-12 TO 2024-25 (build/kde_scores_history.json)</t>
        </is>
      </c>
    </row>
    <row r="44">
      <c r="A44" s="22" t="inlineStr">
        <is>
          <t>Percent proficient or distinguished</t>
        </is>
      </c>
      <c r="B44" s="22" t="inlineStr">
        <is>
          <t>'11-12</t>
        </is>
      </c>
      <c r="C44" s="22" t="inlineStr">
        <is>
          <t>'12-13</t>
        </is>
      </c>
      <c r="D44" s="22" t="inlineStr">
        <is>
          <t>'13-14</t>
        </is>
      </c>
      <c r="E44" s="22" t="inlineStr">
        <is>
          <t>'14-15</t>
        </is>
      </c>
      <c r="F44" s="22" t="inlineStr">
        <is>
          <t>'15-16</t>
        </is>
      </c>
      <c r="G44" s="22" t="inlineStr">
        <is>
          <t>'16-17</t>
        </is>
      </c>
      <c r="H44" s="22" t="inlineStr">
        <is>
          <t>'17-18</t>
        </is>
      </c>
      <c r="I44" s="22" t="inlineStr">
        <is>
          <t>'18-19</t>
        </is>
      </c>
      <c r="J44" s="22" t="inlineStr">
        <is>
          <t>'20-21</t>
        </is>
      </c>
      <c r="K44" s="22" t="inlineStr">
        <is>
          <t>'21-22</t>
        </is>
      </c>
      <c r="L44" s="22" t="inlineStr">
        <is>
          <t>'22-23</t>
        </is>
      </c>
      <c r="M44" s="22" t="inlineStr">
        <is>
          <t>'23-24</t>
        </is>
      </c>
      <c r="N44" s="22" t="inlineStr">
        <is>
          <t>'24-25</t>
        </is>
      </c>
      <c r="T44" s="21" t="inlineStr">
        <is>
          <t>KDE historical accountability files (all students, elementary level); 2017-19 recovered from Wayback captures of KDE's retired download endpoint. 2019-20 canceled statewide; 2020-21 was a limited COVID administration. CATS-era files (2006-2011) are available from KDE by data request.</t>
        </is>
      </c>
    </row>
    <row r="45">
      <c r="A45" s="3" t="inlineStr">
        <is>
          <t>Reading: North Middletown</t>
        </is>
      </c>
      <c r="B45" s="29" t="n">
        <v>51.9</v>
      </c>
      <c r="C45" s="29" t="n">
        <v>59.7</v>
      </c>
      <c r="D45" s="29" t="n">
        <v>63.2</v>
      </c>
      <c r="E45" s="29" t="n">
        <v>53.2</v>
      </c>
      <c r="F45" s="29" t="n">
        <v>56.1</v>
      </c>
      <c r="G45" s="29" t="n">
        <v>55.6</v>
      </c>
      <c r="H45" s="29" t="n">
        <v>42.3</v>
      </c>
      <c r="I45" s="29" t="n">
        <v>48.4</v>
      </c>
      <c r="J45" s="29" t="n">
        <v>21.4</v>
      </c>
      <c r="K45" s="29" t="n">
        <v>32</v>
      </c>
      <c r="L45" s="29" t="n">
        <v>43</v>
      </c>
      <c r="M45" s="29" t="n">
        <v>45</v>
      </c>
      <c r="N45" s="29" t="n">
        <v>41</v>
      </c>
    </row>
    <row r="46">
      <c r="A46" s="3" t="inlineStr">
        <is>
          <t>Reading: Bourbon Central</t>
        </is>
      </c>
      <c r="B46" s="29" t="n">
        <v>62.1</v>
      </c>
      <c r="C46" s="29" t="n">
        <v>56.6</v>
      </c>
      <c r="D46" s="29" t="n">
        <v>61.2</v>
      </c>
      <c r="E46" s="29" t="n">
        <v>55.7</v>
      </c>
      <c r="F46" s="29" t="n">
        <v>47.9</v>
      </c>
      <c r="G46" s="29" t="n">
        <v>47.9</v>
      </c>
      <c r="H46" s="29" t="n">
        <v>49.3</v>
      </c>
      <c r="I46" s="29" t="n">
        <v>49.1</v>
      </c>
      <c r="J46" s="29" t="n">
        <v>27.1</v>
      </c>
      <c r="K46" s="29" t="n">
        <v>43</v>
      </c>
      <c r="L46" s="29" t="n">
        <v>37</v>
      </c>
      <c r="M46" s="29" t="n">
        <v>36</v>
      </c>
      <c r="N46" s="29" t="n">
        <v>38</v>
      </c>
    </row>
    <row r="47">
      <c r="A47" s="3" t="inlineStr">
        <is>
          <t>Reading: Cane Ridge</t>
        </is>
      </c>
      <c r="B47" s="29" t="n">
        <v>42.9</v>
      </c>
      <c r="C47" s="29" t="n">
        <v>47.2</v>
      </c>
      <c r="D47" s="29" t="n">
        <v>54.5</v>
      </c>
      <c r="E47" s="29" t="n">
        <v>55.3</v>
      </c>
      <c r="F47" s="29" t="n">
        <v>59.3</v>
      </c>
      <c r="G47" s="29" t="n">
        <v>57.1</v>
      </c>
      <c r="H47" s="29" t="n">
        <v>52</v>
      </c>
      <c r="I47" s="29" t="n">
        <v>49.6</v>
      </c>
      <c r="J47" s="29" t="n">
        <v>26.5</v>
      </c>
      <c r="K47" s="29" t="n">
        <v>44</v>
      </c>
      <c r="L47" s="29" t="n">
        <v>40</v>
      </c>
      <c r="M47" s="29" t="n">
        <v>40</v>
      </c>
      <c r="N47" s="29" t="n">
        <v>37</v>
      </c>
    </row>
    <row r="48">
      <c r="A48" s="3" t="inlineStr">
        <is>
          <t>Reading: Paris Elementary</t>
        </is>
      </c>
      <c r="B48" s="29" t="n">
        <v>31</v>
      </c>
      <c r="C48" s="29" t="n">
        <v>34.1</v>
      </c>
      <c r="D48" s="29" t="n">
        <v>42.9</v>
      </c>
      <c r="E48" s="29" t="n">
        <v>38.9</v>
      </c>
      <c r="F48" s="29" t="n">
        <v>41.2</v>
      </c>
      <c r="G48" s="29" t="n">
        <v>34.3</v>
      </c>
      <c r="H48" s="29" t="n">
        <v>34.4</v>
      </c>
      <c r="I48" s="29" t="n">
        <v>35.3</v>
      </c>
      <c r="J48" s="29" t="n">
        <v>25</v>
      </c>
      <c r="K48" s="29" t="n">
        <v>28</v>
      </c>
      <c r="L48" s="29" t="n">
        <v>25</v>
      </c>
      <c r="M48" s="29" t="n">
        <v>30</v>
      </c>
      <c r="N48" s="29" t="n">
        <v>25</v>
      </c>
    </row>
    <row r="49">
      <c r="A49" s="3" t="inlineStr">
        <is>
          <t>Mathematics: North Middletown</t>
        </is>
      </c>
      <c r="B49" s="29" t="n">
        <v>53.2</v>
      </c>
      <c r="C49" s="29" t="n">
        <v>49.4</v>
      </c>
      <c r="D49" s="29" t="n">
        <v>55.3</v>
      </c>
      <c r="E49" s="29" t="n">
        <v>59.5</v>
      </c>
      <c r="F49" s="29" t="n">
        <v>62.1</v>
      </c>
      <c r="G49" s="29" t="n">
        <v>50.8</v>
      </c>
      <c r="H49" s="29" t="n">
        <v>47.9</v>
      </c>
      <c r="I49" s="29" t="n">
        <v>48.4</v>
      </c>
      <c r="J49" s="29" t="n">
        <v>17.9</v>
      </c>
      <c r="K49" s="29" t="n">
        <v>31</v>
      </c>
      <c r="L49" s="29" t="n">
        <v>30</v>
      </c>
      <c r="M49" s="29" t="n">
        <v>45</v>
      </c>
      <c r="N49" s="29" t="n">
        <v>31</v>
      </c>
    </row>
    <row r="50">
      <c r="A50" s="3" t="inlineStr">
        <is>
          <t>Mathematics: Bourbon Central</t>
        </is>
      </c>
      <c r="B50" s="29" t="n">
        <v>47.1</v>
      </c>
      <c r="C50" s="29" t="n">
        <v>47.4</v>
      </c>
      <c r="D50" s="29" t="n">
        <v>43</v>
      </c>
      <c r="E50" s="29" t="n">
        <v>43.6</v>
      </c>
      <c r="F50" s="29" t="n">
        <v>40</v>
      </c>
      <c r="G50" s="29" t="n">
        <v>43.5</v>
      </c>
      <c r="H50" s="29" t="n">
        <v>41.8</v>
      </c>
      <c r="I50" s="29" t="n">
        <v>45.1</v>
      </c>
      <c r="J50" s="29" t="n">
        <v>31.7</v>
      </c>
      <c r="K50" s="29" t="n">
        <v>27</v>
      </c>
      <c r="L50" s="29" t="n">
        <v>28</v>
      </c>
      <c r="M50" s="29" t="n">
        <v>23</v>
      </c>
      <c r="N50" s="29" t="n">
        <v>28</v>
      </c>
    </row>
    <row r="51">
      <c r="A51" s="3" t="inlineStr">
        <is>
          <t>Mathematics: Cane Ridge</t>
        </is>
      </c>
      <c r="B51" s="29" t="n">
        <v>33.3</v>
      </c>
      <c r="C51" s="29" t="n">
        <v>37.7</v>
      </c>
      <c r="D51" s="29" t="n">
        <v>43.1</v>
      </c>
      <c r="E51" s="29" t="n">
        <v>46.1</v>
      </c>
      <c r="F51" s="29" t="n">
        <v>54.4</v>
      </c>
      <c r="G51" s="29" t="n">
        <v>45.9</v>
      </c>
      <c r="H51" s="29" t="n">
        <v>41.5</v>
      </c>
      <c r="I51" s="29" t="n">
        <v>39</v>
      </c>
      <c r="J51" s="29" t="n">
        <v>25.2</v>
      </c>
      <c r="K51" s="29" t="n">
        <v>33</v>
      </c>
      <c r="L51" s="29" t="n">
        <v>35</v>
      </c>
      <c r="M51" s="29" t="n">
        <v>30</v>
      </c>
      <c r="N51" s="29" t="n">
        <v>27</v>
      </c>
    </row>
    <row r="52">
      <c r="A52" s="3" t="inlineStr">
        <is>
          <t>Mathematics: Paris Elementary</t>
        </is>
      </c>
      <c r="B52" s="29" t="n">
        <v>29.7</v>
      </c>
      <c r="C52" s="29" t="n">
        <v>25</v>
      </c>
      <c r="D52" s="29" t="n">
        <v>26.8</v>
      </c>
      <c r="E52" s="29" t="n">
        <v>22.9</v>
      </c>
      <c r="F52" s="29" t="n">
        <v>41.9</v>
      </c>
      <c r="G52" s="29" t="n">
        <v>28.7</v>
      </c>
      <c r="H52" s="29" t="n">
        <v>30</v>
      </c>
      <c r="I52" s="29" t="n">
        <v>32</v>
      </c>
      <c r="J52" s="29" t="n">
        <v>15.3</v>
      </c>
      <c r="K52" s="29" t="n">
        <v>23</v>
      </c>
      <c r="L52" s="29" t="n">
        <v>32</v>
      </c>
      <c r="M52" s="29" t="n">
        <v>27</v>
      </c>
      <c r="N52" s="29" t="n">
        <v>29</v>
      </c>
    </row>
    <row r="53">
      <c r="A53" s="21" t="inlineStr">
        <is>
          <t>NMES led the county in mathematics in every pre-COVID administration on record, 2011-12 through 2018-19: eight straight years.</t>
        </is>
      </c>
    </row>
    <row r="55">
      <c r="A55" s="22" t="inlineStr">
        <is>
          <t>Official overall score</t>
        </is>
      </c>
      <c r="B55" s="22" t="inlineStr">
        <is>
          <t>'11-12</t>
        </is>
      </c>
      <c r="C55" s="22" t="inlineStr">
        <is>
          <t>'12-13</t>
        </is>
      </c>
      <c r="D55" s="22" t="inlineStr">
        <is>
          <t>'13-14</t>
        </is>
      </c>
      <c r="E55" s="22" t="inlineStr">
        <is>
          <t>'14-15</t>
        </is>
      </c>
      <c r="F55" s="22" t="inlineStr">
        <is>
          <t>'15-16</t>
        </is>
      </c>
      <c r="G55" s="22" t="inlineStr">
        <is>
          <t>'16-17</t>
        </is>
      </c>
      <c r="H55" s="22" t="inlineStr">
        <is>
          <t>'17-18</t>
        </is>
      </c>
      <c r="I55" s="22" t="inlineStr">
        <is>
          <t>'18-19</t>
        </is>
      </c>
      <c r="J55" s="22" t="inlineStr">
        <is>
          <t>'20-21</t>
        </is>
      </c>
      <c r="K55" s="22" t="inlineStr">
        <is>
          <t>'21-22</t>
        </is>
      </c>
      <c r="L55" s="22" t="inlineStr">
        <is>
          <t>'22-23</t>
        </is>
      </c>
      <c r="M55" s="22" t="inlineStr">
        <is>
          <t>'23-24</t>
        </is>
      </c>
      <c r="N55" s="22" t="inlineStr">
        <is>
          <t>'24-25</t>
        </is>
      </c>
      <c r="T55" s="21" t="inlineStr">
        <is>
          <t>Unbridled Learning overall score 2011-12 to 2015-16 (state classifications noted below); KSA overall indicator rate 2021-22 to 2024-25. The two scales are not comparable to each other. No overall score was issued 2016-17 through 2020-21 by design.</t>
        </is>
      </c>
    </row>
    <row r="56">
      <c r="A56" s="3" t="inlineStr">
        <is>
          <t>North Middletown</t>
        </is>
      </c>
      <c r="B56" s="29" t="n">
        <v>62.6</v>
      </c>
      <c r="C56" s="29" t="n">
        <v>68.8</v>
      </c>
      <c r="D56" s="29" t="n">
        <v>71.40000000000001</v>
      </c>
      <c r="E56" s="29" t="n">
        <v>72.09999999999999</v>
      </c>
      <c r="F56" s="29" t="n">
        <v>79.09999999999999</v>
      </c>
      <c r="K56" s="29" t="n">
        <v>51.9</v>
      </c>
      <c r="L56" s="29" t="n">
        <v>62.2</v>
      </c>
      <c r="M56" s="29" t="n">
        <v>74.5</v>
      </c>
      <c r="N56" s="29" t="n">
        <v>54</v>
      </c>
    </row>
    <row r="57">
      <c r="A57" s="3" t="inlineStr">
        <is>
          <t>Bourbon Central</t>
        </is>
      </c>
      <c r="B57" s="29" t="n">
        <v>63.2</v>
      </c>
      <c r="C57" s="29" t="n">
        <v>63</v>
      </c>
      <c r="D57" s="29" t="n">
        <v>69.8</v>
      </c>
      <c r="E57" s="29" t="n">
        <v>67.8</v>
      </c>
      <c r="F57" s="29" t="n">
        <v>56.8</v>
      </c>
      <c r="K57" s="29" t="n">
        <v>52.8</v>
      </c>
      <c r="L57" s="29" t="n">
        <v>56.7</v>
      </c>
      <c r="M57" s="29" t="n">
        <v>50.3</v>
      </c>
      <c r="N57" s="29" t="n">
        <v>55.4</v>
      </c>
    </row>
    <row r="58">
      <c r="A58" s="3" t="inlineStr">
        <is>
          <t>Cane Ridge</t>
        </is>
      </c>
      <c r="B58" s="29" t="n">
        <v>53.3</v>
      </c>
      <c r="C58" s="29" t="n">
        <v>58.9</v>
      </c>
      <c r="D58" s="29" t="n">
        <v>69.2</v>
      </c>
      <c r="E58" s="29" t="n">
        <v>68.5</v>
      </c>
      <c r="F58" s="29" t="n">
        <v>65.5</v>
      </c>
      <c r="K58" s="29" t="n">
        <v>54.3</v>
      </c>
      <c r="L58" s="29" t="n">
        <v>51.8</v>
      </c>
      <c r="M58" s="29" t="n">
        <v>60.7</v>
      </c>
      <c r="N58" s="29" t="n">
        <v>47.8</v>
      </c>
    </row>
    <row r="59">
      <c r="A59" s="3" t="inlineStr">
        <is>
          <t>Paris Elementary</t>
        </is>
      </c>
      <c r="B59" s="29" t="n">
        <v>48</v>
      </c>
      <c r="C59" s="29" t="n">
        <v>49.9</v>
      </c>
      <c r="D59" s="29" t="n">
        <v>59.4</v>
      </c>
      <c r="E59" s="29" t="n">
        <v>54.8</v>
      </c>
      <c r="F59" s="29" t="n">
        <v>69.59999999999999</v>
      </c>
      <c r="K59" s="29" t="n">
        <v>46.1</v>
      </c>
      <c r="L59" s="29" t="n">
        <v>45.9</v>
      </c>
      <c r="M59" s="29" t="n">
        <v>40.7</v>
      </c>
      <c r="N59" s="29" t="n">
        <v>41.9</v>
      </c>
    </row>
    <row r="60">
      <c r="A60" s="21" t="inlineStr">
        <is>
          <t>Classifications: NMES rated Proficient 2012-2015 and Distinguished in 2015-16 at 79.1, the county's only Distinguished elementary rating in the files retrieved. In 2023-24 NMES posted 74.5, first in the county by 14 points.</t>
        </is>
      </c>
    </row>
    <row r="62">
      <c r="A62" s="21" t="inlineStr">
        <is>
          <t>Third-party check: the SchoolDigger index above correlates about 0.9 with these official results for Bourbon Central and Cane Ridge but only weakly for NMES, and it names the wrong county leader in three of the ten overlapping years. The official record governs.</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4"/>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next plan due June 2025). Both archived in this repository under build/. Figures read enrollment/capacity; the 2021 preschool line (272/200, with the plan's note of 80 full-day plus 192 half-day students) confirms the order.</t>
        </is>
      </c>
    </row>
    <row r="4">
      <c r="A4" s="17" t="inlineStr">
        <is>
          <t>School</t>
        </is>
      </c>
      <c r="B4" s="17" t="inlineStr">
        <is>
          <t>2013 enr</t>
        </is>
      </c>
      <c r="C4" s="17" t="inlineStr">
        <is>
          <t>2013 cap</t>
        </is>
      </c>
      <c r="D4" s="17" t="inlineStr">
        <is>
          <t>2021 enr</t>
        </is>
      </c>
      <c r="E4" s="17" t="inlineStr">
        <is>
          <t>2021 cap</t>
        </is>
      </c>
      <c r="F4" s="17"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Approved rating 521; the plan's 549 is a contingent To-Become figure tied to an expansion never built (GSF unchanged at 63,320 through the July 2026 KDE report)</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the approved 521</t>
        </is>
      </c>
      <c r="B13" s="11">
        <f>521-Redistricting!B8</f>
        <v/>
      </c>
    </row>
    <row r="14">
      <c r="A14" s="3" t="inlineStr">
        <is>
          <t>Cane Ridge students over rated 422</t>
        </is>
      </c>
      <c r="B14" s="11">
        <f>Redistricting!B9-E8</f>
        <v/>
      </c>
    </row>
    <row r="15">
      <c r="A15" s="3" t="inlineStr">
        <is>
          <t>Net uncommitted seats at both receiving schools</t>
        </is>
      </c>
      <c r="B15" s="26">
        <f>B13-B14</f>
        <v/>
      </c>
    </row>
    <row r="16">
      <c r="A16" s="3" t="inlineStr">
        <is>
          <t>NMES students needing seats on closure</t>
        </is>
      </c>
      <c r="B16" s="25">
        <f>Assumptions!B11</f>
        <v/>
      </c>
    </row>
    <row r="17">
      <c r="A17" s="3" t="inlineStr">
        <is>
          <t>Shortfall if closure proceeds today</t>
        </is>
      </c>
      <c r="B17" s="26">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approved ratings are 521 (Bourbon Central; the plan's 549 is contingent on an expansion never built) and 422 (Cane Ridge). At current enrollment that is 62 open at Bourbon Central and 31 over at Cane Ridge, a net 31 uncommitted seats for 128 children (59 only under the plan's contingent 549).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17" t="inlineStr">
        <is>
          <t>School</t>
        </is>
      </c>
      <c r="B29" s="17" t="inlineStr">
        <is>
          <t>2023-24 SAAR</t>
        </is>
      </c>
      <c r="C29" s="17" t="inlineStr">
        <is>
          <t>Draft capacity (KFICS)</t>
        </is>
      </c>
      <c r="D29" s="17" t="inlineStr">
        <is>
          <t>Change vs 2021 rating</t>
        </is>
      </c>
    </row>
    <row r="30">
      <c r="A30" s="3" t="inlineStr">
        <is>
          <t>Bourbon Central</t>
        </is>
      </c>
      <c r="B30" s="10" t="n">
        <v>491</v>
      </c>
      <c r="C30" s="10" t="n">
        <v>640</v>
      </c>
      <c r="D30" s="11">
        <f>C30-521</f>
        <v/>
      </c>
    </row>
    <row r="31">
      <c r="A31" s="3" t="inlineStr">
        <is>
          <t>Cane Ridge</t>
        </is>
      </c>
      <c r="B31" s="10" t="n">
        <v>461</v>
      </c>
      <c r="C31" s="10" t="n">
        <v>547</v>
      </c>
      <c r="D31" s="11">
        <f>C31-E8</f>
        <v/>
      </c>
    </row>
    <row r="32">
      <c r="A32" s="3" t="inlineStr">
        <is>
          <t>North Middletown</t>
        </is>
      </c>
      <c r="B32" s="25" t="n">
        <v>128</v>
      </c>
      <c r="C32" s="10" t="n">
        <v>154</v>
      </c>
      <c r="D32" s="11">
        <f>C32-E9</f>
        <v/>
      </c>
    </row>
    <row r="33">
      <c r="A33" s="3" t="inlineStr">
        <is>
          <t>Paper seats added at the receiving schools, with the draft's new-construction sections reading None</t>
        </is>
      </c>
      <c r="B33" s="26">
        <f>D30+D31</f>
        <v/>
      </c>
    </row>
    <row r="34">
      <c r="A34" s="3" t="inlineStr">
        <is>
          <t>NMES fill rate even at the draft's own 154 rating</t>
        </is>
      </c>
      <c r="B34" s="39">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17" t="inlineStr">
        <is>
          <t>Facility</t>
        </is>
      </c>
      <c r="B38" s="17" t="inlineStr">
        <is>
          <t>Condition need</t>
        </is>
      </c>
      <c r="C38" s="17" t="inlineStr">
        <is>
          <t>Instructional deficiency</t>
        </is>
      </c>
      <c r="D38" s="17" t="inlineStr">
        <is>
          <t>Total (as printed)</t>
        </is>
      </c>
      <c r="E38" s="17"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23">
        <f>SUM(D39:D45)</f>
        <v/>
      </c>
    </row>
    <row r="47">
      <c r="A47" s="3" t="inlineStr">
        <is>
          <t>Support facilities total (slide)</t>
        </is>
      </c>
      <c r="B47" s="8" t="n">
        <v>7089052</v>
      </c>
    </row>
    <row r="48">
      <c r="A48" s="3" t="inlineStr">
        <is>
          <t>District total need</t>
        </is>
      </c>
      <c r="B48" s="23">
        <f>B46+B47</f>
        <v/>
      </c>
    </row>
    <row r="49">
      <c r="A49" s="3" t="inlineStr">
        <is>
          <t>Receiving schools combined (Bourbon Central + Cane Ridge)</t>
        </is>
      </c>
      <c r="B49" s="23">
        <f>D41+D42</f>
        <v/>
      </c>
    </row>
    <row r="50">
      <c r="A50" s="3" t="inlineStr">
        <is>
          <t>Net receiving seats at the slides' own capacities (499 and 397)</t>
        </is>
      </c>
      <c r="B50" s="26">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(the approved 521, 422; the plan's contingent 549 depends on unbuilt work): three documents, three capacity sets for the same buildings. NMES total need is second lowest among the district's schools.</t>
        </is>
      </c>
    </row>
    <row r="55">
      <c r="A55" s="4" t="inlineStr">
        <is>
          <t>2017 PLAN, RECOVERED (KBE approved June 7, 2017; Wayback capture July 1, 2017, archived as build/dfp_wayback_20170701225631.pdf; KBE minutes corroborate)</t>
        </is>
      </c>
    </row>
    <row r="56">
      <c r="A56" s="17" t="inlineStr">
        <is>
          <t>School</t>
        </is>
      </c>
      <c r="B56" s="17" t="inlineStr">
        <is>
          <t>2017 enr</t>
        </is>
      </c>
      <c r="C56" s="17" t="inlineStr">
        <is>
          <t>2017 cap</t>
        </is>
      </c>
    </row>
    <row r="57">
      <c r="A57" s="3" t="inlineStr">
        <is>
          <t>Bourbon County High School</t>
        </is>
      </c>
      <c r="B57" s="10" t="n">
        <v>914</v>
      </c>
      <c r="C57" s="10" t="n">
        <v>671</v>
      </c>
    </row>
    <row r="58">
      <c r="A58" s="3" t="inlineStr">
        <is>
          <t>Bourbon County Middle School</t>
        </is>
      </c>
      <c r="B58" s="10" t="n">
        <v>607</v>
      </c>
      <c r="C58" s="10" t="n">
        <v>564</v>
      </c>
    </row>
    <row r="59">
      <c r="A59" s="3" t="inlineStr">
        <is>
          <t>Bourbon Central Elementary</t>
        </is>
      </c>
      <c r="B59" s="10" t="n">
        <v>633</v>
      </c>
      <c r="C59" s="10" t="n">
        <v>611</v>
      </c>
    </row>
    <row r="60">
      <c r="A60" s="3" t="inlineStr">
        <is>
          <t>Cane Ridge Elementary</t>
        </is>
      </c>
      <c r="B60" s="10" t="n">
        <v>482</v>
      </c>
      <c r="C60" s="10" t="n">
        <v>550</v>
      </c>
    </row>
    <row r="61">
      <c r="A61" s="3" t="inlineStr">
        <is>
          <t>North Middletown Elementary</t>
        </is>
      </c>
      <c r="B61" s="10" t="n">
        <v>154</v>
      </c>
      <c r="C61" s="10" t="n">
        <v>152</v>
      </c>
    </row>
    <row r="62">
      <c r="A62" s="3" t="inlineStr">
        <is>
          <t>Preschool/Head Start Center</t>
        </is>
      </c>
      <c r="B62" s="10" t="n">
        <v>125</v>
      </c>
      <c r="C62" s="10" t="n">
        <v>200</v>
      </c>
    </row>
    <row r="63">
      <c r="A63" s="21" t="inlineStr">
        <is>
          <t>NMES listed at 154 enrolled against 152 capacity: OVER capacity in the district's own 2017 plan. Same-building rating trajectory across plans: NMES 198-152-174-154; Bourbon Central 564-611-521-640; Cane Ridge 500-550-422-547.</t>
        </is>
      </c>
    </row>
    <row r="65">
      <c r="A65" s="4" t="inlineStr">
        <is>
          <t>KFICS CONDITION INDEX, EVERY STATE REPORT PUBLISHED (KDE KFICS State Reports: official Oct 2023, official Oct 2025, updated report generated July 2, 2026)</t>
        </is>
      </c>
    </row>
    <row r="66">
      <c r="A66" s="17" t="inlineStr">
        <is>
          <t>School</t>
        </is>
      </c>
      <c r="B66" s="17" t="inlineStr">
        <is>
          <t>Oct 2023 report</t>
        </is>
      </c>
      <c r="C66" s="17" t="inlineStr">
        <is>
          <t>Oct 2025 report</t>
        </is>
      </c>
      <c r="D66" s="17" t="inlineStr">
        <is>
          <t>Jul 2026 report</t>
        </is>
      </c>
      <c r="E66" s="17" t="inlineStr">
        <is>
          <t>4-yr needs (Jul 2026)</t>
        </is>
      </c>
      <c r="F66" s="17" t="inlineStr">
        <is>
          <t>Replacement value (Jul 2026)</t>
        </is>
      </c>
    </row>
    <row r="67">
      <c r="A67" s="3" t="inlineStr">
        <is>
          <t>Bourbon Central Elementary (1988)</t>
        </is>
      </c>
      <c r="B67" s="40" t="n">
        <v>0.887637</v>
      </c>
      <c r="C67" s="40" t="n">
        <v>0.819273</v>
      </c>
      <c r="D67" s="40" t="n">
        <v>0.823017</v>
      </c>
      <c r="E67" s="8" t="n">
        <v>4006243.38</v>
      </c>
      <c r="F67" s="8" t="n">
        <v>22636266.8</v>
      </c>
    </row>
    <row r="68">
      <c r="A68" s="3" t="inlineStr">
        <is>
          <t>Cane Ridge Elementary (1992)</t>
        </is>
      </c>
      <c r="B68" s="40" t="n">
        <v>0.8120579999999999</v>
      </c>
      <c r="C68" s="40" t="n">
        <v>0.811765</v>
      </c>
      <c r="D68" s="40" t="n">
        <v>0.728249</v>
      </c>
      <c r="E68" s="8" t="n">
        <v>4796308</v>
      </c>
      <c r="F68" s="8" t="n">
        <v>17649638.79</v>
      </c>
    </row>
    <row r="69">
      <c r="A69" s="3" t="inlineStr">
        <is>
          <t>North Middletown Elementary (1948/64)</t>
        </is>
      </c>
      <c r="B69" s="40" t="n">
        <v>0.694064</v>
      </c>
      <c r="C69" s="40" t="n">
        <v>0.702133</v>
      </c>
      <c r="D69" s="40" t="n">
        <v>0.773295</v>
      </c>
      <c r="E69" s="8" t="n">
        <v>3099147.93</v>
      </c>
      <c r="F69" s="8" t="n">
        <v>13670417.6</v>
      </c>
    </row>
    <row r="70">
      <c r="A70" s="3" t="inlineStr">
        <is>
          <t>Bourbon County Middle School (1948)</t>
        </is>
      </c>
      <c r="B70" s="40" t="n">
        <v>0.726249</v>
      </c>
      <c r="C70" s="40" t="n">
        <v>0.727501</v>
      </c>
      <c r="D70" s="40" t="n">
        <v>0.596145</v>
      </c>
      <c r="E70" s="8" t="n">
        <v>12167086.72</v>
      </c>
      <c r="F70" s="8" t="n">
        <v>30127350</v>
      </c>
    </row>
    <row r="71">
      <c r="A71" s="3" t="inlineStr">
        <is>
          <t>Bourbon County High School (1968)</t>
        </is>
      </c>
      <c r="B71" s="40" t="n">
        <v>0.809819</v>
      </c>
      <c r="C71" s="40" t="n">
        <v>0.802057</v>
      </c>
      <c r="D71" s="40" t="n">
        <v>0.792529</v>
      </c>
      <c r="E71" s="8" t="n">
        <v>10251532.33</v>
      </c>
      <c r="F71" s="8" t="n">
        <v>49411909.14</v>
      </c>
    </row>
    <row r="72">
      <c r="A72" s="3" t="inlineStr">
        <is>
          <t>Check: Condition Index = 1 - (4-year renewal needs / replacement value), NMES</t>
        </is>
      </c>
      <c r="B72" s="41">
        <f>1-E69/F69</f>
        <v/>
      </c>
    </row>
    <row r="73">
      <c r="A73" s="3" t="inlineStr">
        <is>
          <t>NMES change between inspection cycles (2020-21 to April 2026)</t>
        </is>
      </c>
      <c r="B73" s="41">
        <f>D69-B69</f>
        <v/>
      </c>
    </row>
    <row r="74">
      <c r="A74" s="21" t="inlineStr">
        <is>
          <t>Notes: the Oct 2023 and Oct 2025 official reports rest on the same 2020-21 inspections (NMES and Cane Ridge Jan 5, 2021; Bourbon Central Apr 14, 2020) with costs updated between reports; the Jul 2026 report carries the first fresh inspections, completed April 2026 and reviewed by KDE. NMES is the only school whose index improved between inspection cycles, and its $3.1M four-year repair bill is the smallest of the district's five schools. NMES Educational Suitability prints 0.21725 in both the 2023 and Jul 2026 reports, identical to five decimal places, so that component appears carried forward rather than re-surveyed. Higher index = healthier building.</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53"/>
  <sheetViews>
    <sheetView showGridLines="1" workbookViewId="0">
      <selection activeCell="A1" sqref="A1"/>
    </sheetView>
  </sheetViews>
  <sheetFormatPr baseColWidth="8" defaultRowHeight="15"/>
  <cols>
    <col width="46" customWidth="1" min="1" max="1"/>
    <col width="10" customWidth="1" min="2" max="2"/>
    <col width="12" customWidth="1" min="3" max="3"/>
    <col width="14" customWidth="1" min="4" max="4"/>
    <col width="14" customWidth="1" min="5" max="5"/>
    <col width="10" customWidth="1" min="6" max="6"/>
    <col width="14" customWidth="1" min="7" max="7"/>
    <col width="14" customWidth="1" min="8" max="8"/>
    <col width="12" customWidth="1" min="9" max="9"/>
    <col width="60" customWidth="1" min="10" max="10"/>
  </cols>
  <sheetData>
    <row r="1">
      <c r="A1" s="1" t="inlineStr">
        <is>
          <t>Thirty Years of Kentucky Rural School Closures: The Record</t>
        </is>
      </c>
    </row>
    <row r="2">
      <c r="A2" s="21" t="inlineStr">
        <is>
          <t>Universe: federal Common Core of Data, every KY public school, every year, 1994-2023 (via the Urban Institute Education Data API). Screens: rural/small-town locale; enrollment above zero; renames, rebuilds under new IDs, and non-community programs removed; corrupt federal finance rows (12) excluded by an enrollment-plausibility screen. Full lists archived as build/ky_rural_closures_1995_2023.csv and build/ky_closure_dollar_cases.csv.</t>
        </is>
      </c>
    </row>
    <row r="4">
      <c r="A4" s="4" t="inlineStr">
        <is>
          <t>THE UNIVERSE</t>
        </is>
      </c>
    </row>
    <row r="5">
      <c r="A5" s="3" t="inlineStr">
        <is>
          <t>Rural/small-town school closures since 1995</t>
        </is>
      </c>
      <c r="B5" s="10" t="n">
        <v>339</v>
      </c>
    </row>
    <row r="6">
      <c r="A6" s="3" t="inlineStr">
        <is>
          <t>Towns that lost their last public school (any district; successor-school check applied)</t>
        </is>
      </c>
      <c r="B6" s="10" t="n">
        <v>72</v>
      </c>
    </row>
    <row r="7">
      <c r="A7" s="3" t="inlineStr">
        <is>
          <t>Closure events with clean district finance data</t>
        </is>
      </c>
      <c r="B7" s="10" t="n">
        <v>163</v>
      </c>
    </row>
    <row r="8">
      <c r="A8" s="3" t="inlineStr">
        <is>
          <t>Median district per-pupil spending growth vs state, year before to 3 years after (pct pts)</t>
        </is>
      </c>
      <c r="B8" s="12" t="n">
        <v>-0.05</v>
      </c>
    </row>
    <row r="9">
      <c r="A9" s="3" t="inlineStr">
        <is>
          <t>Same, vs districts of similar size (within 40 percent of enrollment)</t>
        </is>
      </c>
      <c r="B9" s="12" t="n">
        <v>-0.24</v>
      </c>
    </row>
    <row r="10">
      <c r="A10" s="3" t="inlineStr">
        <is>
          <t>Districts growing slower than benchmark after closing</t>
        </is>
      </c>
      <c r="B10" s="19">
        <f>84/163</f>
        <v/>
      </c>
    </row>
    <row r="11">
      <c r="A11" s="3" t="inlineStr">
        <is>
          <t>Closures most like this plan (single small elementary, nothing built): count / median saving</t>
        </is>
      </c>
      <c r="B11" s="10" t="n">
        <v>37</v>
      </c>
      <c r="C11" s="10" t="n">
        <v>0</v>
      </c>
    </row>
    <row r="13">
      <c r="A13" s="4" t="inlineStr">
        <is>
          <t>THE DOLLAR TEST: BUDGET GAP VS STATE TREND, CREDITED ENTIRELY TO THE CLOSURE (A GENEROUS CEILING), PER DISPLACED STUDENT</t>
        </is>
      </c>
    </row>
    <row r="14">
      <c r="A14" s="17" t="inlineStr">
        <is>
          <t>Case</t>
        </is>
      </c>
      <c r="B14" s="17" t="inlineStr">
        <is>
          <t>Closed</t>
        </is>
      </c>
      <c r="C14" s="17" t="inlineStr">
        <is>
          <t>Students displaced</t>
        </is>
      </c>
      <c r="D14" s="17" t="inlineStr">
        <is>
          <t>Spending, year before</t>
        </is>
      </c>
      <c r="E14" s="17" t="inlineStr">
        <is>
          <t>Spending, 3 yrs after</t>
        </is>
      </c>
      <c r="F14" s="17" t="inlineStr">
        <is>
          <t>State growth</t>
        </is>
      </c>
      <c r="G14" s="17" t="inlineStr">
        <is>
          <t>Counterfactual</t>
        </is>
      </c>
      <c r="H14" s="17" t="inlineStr">
        <is>
          <t>Gap per year</t>
        </is>
      </c>
      <c r="I14" s="17" t="inlineStr">
        <is>
          <t>Gap per student</t>
        </is>
      </c>
      <c r="J14" s="17" t="inlineStr">
        <is>
          <t>Note</t>
        </is>
      </c>
    </row>
    <row r="15">
      <c r="A15" s="3" t="inlineStr">
        <is>
          <t>Perry County</t>
        </is>
      </c>
      <c r="B15" s="10" t="n">
        <v>2017</v>
      </c>
      <c r="C15" s="10" t="n">
        <v>825</v>
      </c>
      <c r="D15" s="8" t="n">
        <v>42356000</v>
      </c>
      <c r="E15" s="8" t="n">
        <v>44953000</v>
      </c>
      <c r="F15" s="13" t="n">
        <v>0.1323</v>
      </c>
      <c r="G15" s="9">
        <f>D15*(1+F15)</f>
        <v/>
      </c>
      <c r="H15" s="9">
        <f>G15-E15</f>
        <v/>
      </c>
      <c r="I15" s="23">
        <f>H15/C15</f>
        <v/>
      </c>
      <c r="J15" s="21" t="inlineStr">
        <is>
          <t>NEW West Perry Elementary built for the children moved; scores continued a pre-existing climb</t>
        </is>
      </c>
    </row>
    <row r="16">
      <c r="A16" s="3" t="inlineStr">
        <is>
          <t>Johnson County</t>
        </is>
      </c>
      <c r="B16" s="10" t="n">
        <v>2016</v>
      </c>
      <c r="C16" s="10" t="n">
        <v>178</v>
      </c>
      <c r="D16" s="8" t="n">
        <v>37827000</v>
      </c>
      <c r="E16" s="8" t="n">
        <v>39175000</v>
      </c>
      <c r="F16" s="13" t="n">
        <v>0.1339</v>
      </c>
      <c r="G16" s="9">
        <f>D16*(1+F16)</f>
        <v/>
      </c>
      <c r="H16" s="9">
        <f>G16-E16</f>
        <v/>
      </c>
      <c r="I16" s="23">
        <f>H16/C16</f>
        <v/>
      </c>
      <c r="J16" s="21" t="inlineStr">
        <is>
          <t>Meade Memorial El, pure absorption; scores flat: savings without improvement</t>
        </is>
      </c>
    </row>
    <row r="17">
      <c r="A17" s="3" t="inlineStr">
        <is>
          <t>Pineville Independent</t>
        </is>
      </c>
      <c r="B17" s="10" t="n">
        <v>2014</v>
      </c>
      <c r="C17" s="10" t="n">
        <v>508</v>
      </c>
      <c r="D17" s="8" t="n">
        <v>5355000</v>
      </c>
      <c r="E17" s="8" t="n">
        <v>4662000</v>
      </c>
      <c r="F17" s="13" t="n">
        <v>0.0667</v>
      </c>
      <c r="G17" s="9">
        <f>D17*(1+F17)</f>
        <v/>
      </c>
      <c r="H17" s="9">
        <f>G17-E17</f>
        <v/>
      </c>
      <c r="I17" s="23">
        <f>H17/C17</f>
        <v/>
      </c>
      <c r="J17" s="21" t="inlineStr">
        <is>
          <t>Same-town rebuild into one new combined campus; no community lost a school</t>
        </is>
      </c>
    </row>
    <row r="18">
      <c r="A18" s="3" t="inlineStr">
        <is>
          <t>Leslie County</t>
        </is>
      </c>
      <c r="B18" s="10" t="n">
        <v>2013</v>
      </c>
      <c r="C18" s="10" t="n">
        <v>144</v>
      </c>
      <c r="D18" s="8" t="n">
        <v>19840000</v>
      </c>
      <c r="E18" s="8" t="n">
        <v>18031000</v>
      </c>
      <c r="F18" s="13" t="n">
        <v>0.0374</v>
      </c>
      <c r="G18" s="9">
        <f>D18*(1+F18)</f>
        <v/>
      </c>
      <c r="H18" s="9">
        <f>G18-E18</f>
        <v/>
      </c>
      <c r="I18" s="23">
        <f>H18/C18</f>
        <v/>
      </c>
      <c r="J18" s="21" t="inlineStr">
        <is>
          <t>Middle school folded into existing campus; the record's one savings-plus-gains case</t>
        </is>
      </c>
    </row>
    <row r="19">
      <c r="A19" s="3" t="inlineStr">
        <is>
          <t>Pike County</t>
        </is>
      </c>
      <c r="B19" s="10" t="n">
        <v>2014</v>
      </c>
      <c r="C19" s="10" t="n">
        <v>123</v>
      </c>
      <c r="D19" s="8" t="n">
        <v>88648000</v>
      </c>
      <c r="E19" s="8" t="n">
        <v>90441000</v>
      </c>
      <c r="F19" s="13" t="n">
        <v>0.0667</v>
      </c>
      <c r="G19" s="9">
        <f>D19*(1+F19)</f>
        <v/>
      </c>
      <c r="H19" s="9">
        <f>G19-E19</f>
        <v/>
      </c>
      <c r="I19" s="23">
        <f>H19/C19</f>
        <v/>
      </c>
      <c r="J19" s="21" t="inlineStr">
        <is>
          <t>Majestic Knox Creek El, 1.3 percent of a 9,400-student district; the +8 score case</t>
        </is>
      </c>
    </row>
    <row r="20">
      <c r="A20" s="3" t="inlineStr">
        <is>
          <t>Somerset Independent</t>
        </is>
      </c>
      <c r="B20" s="10" t="n">
        <v>1999</v>
      </c>
      <c r="C20" s="10" t="n">
        <v>264</v>
      </c>
      <c r="D20" s="8" t="n">
        <v>9161000</v>
      </c>
      <c r="E20" s="8" t="n">
        <v>9316000</v>
      </c>
      <c r="F20" s="13" t="n">
        <v>0.2045</v>
      </c>
      <c r="G20" s="9">
        <f>D20*(1+F20)</f>
        <v/>
      </c>
      <c r="H20" s="9">
        <f>G20-E20</f>
        <v/>
      </c>
      <c r="I20" s="23">
        <f>H20/C20</f>
        <v/>
      </c>
      <c r="J20" s="21" t="inlineStr">
        <is>
          <t>City-district grade realignment of a 4-5 center, not a rural town; grades split between existing city schools</t>
        </is>
      </c>
    </row>
    <row r="21">
      <c r="A21" s="3" t="inlineStr">
        <is>
          <t>Rowan County</t>
        </is>
      </c>
      <c r="B21" s="10" t="n">
        <v>2001</v>
      </c>
      <c r="C21" s="10" t="n">
        <v>144</v>
      </c>
      <c r="D21" s="8" t="n">
        <v>19483000</v>
      </c>
      <c r="E21" s="8" t="n">
        <v>21010000</v>
      </c>
      <c r="F21" s="13" t="n">
        <v>0.1931</v>
      </c>
      <c r="G21" s="9">
        <f>D21*(1+F21)</f>
        <v/>
      </c>
      <c r="H21" s="9">
        <f>G21-E21</f>
        <v/>
      </c>
      <c r="I21" s="23">
        <f>H21/C21</f>
        <v/>
      </c>
      <c r="J21" s="21" t="inlineStr">
        <is>
          <t>Farmers El; gap exceeds plausible closure savings</t>
        </is>
      </c>
    </row>
    <row r="22">
      <c r="A22" s="3" t="inlineStr">
        <is>
          <t>Webster County</t>
        </is>
      </c>
      <c r="B22" s="10" t="n">
        <v>2012</v>
      </c>
      <c r="C22" s="10" t="n">
        <v>172</v>
      </c>
      <c r="D22" s="8" t="n">
        <v>19693000</v>
      </c>
      <c r="E22" s="8" t="n">
        <v>19475000</v>
      </c>
      <c r="F22" s="13" t="n">
        <v>0.0197</v>
      </c>
      <c r="G22" s="9">
        <f>D22*(1+F22)</f>
        <v/>
      </c>
      <c r="H22" s="9">
        <f>G22-E22</f>
        <v/>
      </c>
      <c r="I22" s="23">
        <f>H22/C22</f>
        <v/>
      </c>
      <c r="J22" s="21" t="inlineStr">
        <is>
          <t>Slaughters El; town lost its school; scores -2 vs state</t>
        </is>
      </c>
    </row>
    <row r="23">
      <c r="A23" s="3" t="inlineStr">
        <is>
          <t>Butler County</t>
        </is>
      </c>
      <c r="B23" s="10" t="n">
        <v>2003</v>
      </c>
      <c r="C23" s="10" t="n">
        <v>94</v>
      </c>
      <c r="D23" s="8" t="n">
        <v>14995000</v>
      </c>
      <c r="E23" s="8" t="n">
        <v>16806000</v>
      </c>
      <c r="F23" s="13" t="n">
        <v>0.2352</v>
      </c>
      <c r="G23" s="9">
        <f>D23*(1+F23)</f>
        <v/>
      </c>
      <c r="H23" s="9">
        <f>G23-E23</f>
        <v/>
      </c>
      <c r="I23" s="23">
        <f>H23/C23</f>
        <v/>
      </c>
      <c r="J23" s="21" t="inlineStr">
        <is>
          <t>Third District El; gap exceeds plausible closure savings</t>
        </is>
      </c>
    </row>
    <row r="24">
      <c r="A24" s="3" t="inlineStr">
        <is>
          <t>Letcher County</t>
        </is>
      </c>
      <c r="B24" s="10" t="n">
        <v>2007</v>
      </c>
      <c r="C24" s="10" t="n">
        <v>67</v>
      </c>
      <c r="D24" s="8" t="n">
        <v>30621000</v>
      </c>
      <c r="E24" s="8" t="n">
        <v>31987000</v>
      </c>
      <c r="F24" s="13" t="n">
        <v>0.1523</v>
      </c>
      <c r="G24" s="9">
        <f>D24*(1+F24)</f>
        <v/>
      </c>
      <c r="H24" s="9">
        <f>G24-E24</f>
        <v/>
      </c>
      <c r="I24" s="23">
        <f>H24/C24</f>
        <v/>
      </c>
      <c r="J24" s="21" t="inlineStr">
        <is>
          <t>Kingdom Come Settlement El; gap of $49K per child is 4x what a school costs: budget-wide, not closure</t>
        </is>
      </c>
    </row>
    <row r="25">
      <c r="A25" s="3" t="inlineStr">
        <is>
          <t>Muhlenberg County</t>
        </is>
      </c>
      <c r="B25" s="10" t="n">
        <v>2013</v>
      </c>
      <c r="C25" s="10" t="n">
        <v>91</v>
      </c>
      <c r="D25" s="8" t="n">
        <v>52941000</v>
      </c>
      <c r="E25" s="8" t="n">
        <v>45883000</v>
      </c>
      <c r="F25" s="13" t="n">
        <v>0.0374</v>
      </c>
      <c r="G25" s="9">
        <f>D25*(1+F25)</f>
        <v/>
      </c>
      <c r="H25" s="9">
        <f>G25-E25</f>
        <v/>
      </c>
      <c r="I25" s="23">
        <f>H25/C25</f>
        <v/>
      </c>
      <c r="J25" s="21" t="inlineStr">
        <is>
          <t>Career HS; $99K per child gap = post-construction and coal-era budget swings, not closure</t>
        </is>
      </c>
    </row>
    <row r="26">
      <c r="A26" s="3" t="inlineStr">
        <is>
          <t>Wayne County</t>
        </is>
      </c>
      <c r="B26" s="10" t="n">
        <v>2007</v>
      </c>
      <c r="C26" s="10" t="n">
        <v>381</v>
      </c>
      <c r="D26" s="8" t="n">
        <v>22129000</v>
      </c>
      <c r="E26" s="8" t="n">
        <v>23687000</v>
      </c>
      <c r="F26" s="13" t="n">
        <v>0.1523</v>
      </c>
      <c r="G26" s="9">
        <f>D26*(1+F26)</f>
        <v/>
      </c>
      <c r="H26" s="9">
        <f>G26-E26</f>
        <v/>
      </c>
      <c r="I26" s="23">
        <f>H26/C26</f>
        <v/>
      </c>
      <c r="J26" s="21" t="inlineStr">
        <is>
          <t>A J Lloyd Middle</t>
        </is>
      </c>
    </row>
    <row r="27">
      <c r="A27" s="3" t="inlineStr">
        <is>
          <t>Lincoln County</t>
        </is>
      </c>
      <c r="B27" s="10" t="n">
        <v>2016</v>
      </c>
      <c r="C27" s="10" t="n">
        <v>286</v>
      </c>
      <c r="D27" s="8" t="n">
        <v>40397000</v>
      </c>
      <c r="E27" s="8" t="n">
        <v>41252000</v>
      </c>
      <c r="F27" s="13" t="n">
        <v>0.1339</v>
      </c>
      <c r="G27" s="9">
        <f>D27*(1+F27)</f>
        <v/>
      </c>
      <c r="H27" s="9">
        <f>G27-E27</f>
        <v/>
      </c>
      <c r="I27" s="23">
        <f>H27/C27</f>
        <v/>
      </c>
      <c r="J27" s="21" t="inlineStr">
        <is>
          <t>Sixth-grade center reorganization</t>
        </is>
      </c>
    </row>
    <row r="28">
      <c r="A28" s="3" t="inlineStr">
        <is>
          <t>Montgomery County</t>
        </is>
      </c>
      <c r="B28" s="10" t="n">
        <v>2018</v>
      </c>
      <c r="C28" s="10" t="n">
        <v>737</v>
      </c>
      <c r="D28" s="8" t="n">
        <v>45709000</v>
      </c>
      <c r="E28" s="8" t="n">
        <v>46413000</v>
      </c>
      <c r="F28" s="13" t="n">
        <v>0.1366</v>
      </c>
      <c r="G28" s="9">
        <f>D28*(1+F28)</f>
        <v/>
      </c>
      <c r="H28" s="9">
        <f>G28-E28</f>
        <v/>
      </c>
      <c r="I28" s="23">
        <f>H28/C28</f>
        <v/>
      </c>
      <c r="J28" s="21" t="inlineStr">
        <is>
          <t>County-seat grade reshuffle of a 5-6 intermediate center, not a rural town or an elementary; opened NEW Northview Elementary the same year</t>
        </is>
      </c>
    </row>
    <row r="29">
      <c r="A29" s="3" t="inlineStr">
        <is>
          <t>Metcalfe County</t>
        </is>
      </c>
      <c r="B29" s="10" t="n">
        <v>2013</v>
      </c>
      <c r="C29" s="10" t="n">
        <v>817</v>
      </c>
      <c r="D29" s="8" t="n">
        <v>17028000</v>
      </c>
      <c r="E29" s="8" t="n">
        <v>15990000</v>
      </c>
      <c r="F29" s="13" t="n">
        <v>0.0374</v>
      </c>
      <c r="G29" s="9">
        <f>D29*(1+F29)</f>
        <v/>
      </c>
      <c r="H29" s="9">
        <f>G29-E29</f>
        <v/>
      </c>
      <c r="I29" s="23">
        <f>H29/C29</f>
        <v/>
      </c>
      <c r="J29" s="21" t="inlineStr">
        <is>
          <t>Closed 3 schools, half the district displaced; built new Primary and Intermediate centers; scores fell 10.5 vs state: the cautionary pair</t>
        </is>
      </c>
    </row>
    <row r="30">
      <c r="A30" s="3" t="inlineStr">
        <is>
          <t>Adair County</t>
        </is>
      </c>
      <c r="B30" s="10" t="n">
        <v>2006</v>
      </c>
      <c r="C30" s="10" t="n">
        <v>479</v>
      </c>
      <c r="D30" s="8" t="n">
        <v>22126000</v>
      </c>
      <c r="E30" s="8" t="n">
        <v>23240000</v>
      </c>
      <c r="F30" s="13" t="n">
        <v>0.2005</v>
      </c>
      <c r="G30" s="9">
        <f>D30*(1+F30)</f>
        <v/>
      </c>
      <c r="H30" s="9">
        <f>G30-E30</f>
        <v/>
      </c>
      <c r="I30" s="23">
        <f>H30/C30</f>
        <v/>
      </c>
      <c r="J30" s="21" t="inlineStr">
        <is>
          <t>3 rural elementaries; built NEW Adair County Elementary the same year; pre-closure spending spike reverting; gap is 88 percent of everything the district then spent per student</t>
        </is>
      </c>
    </row>
    <row r="31">
      <c r="A31" s="3" t="inlineStr">
        <is>
          <t>Breckinridge County</t>
        </is>
      </c>
      <c r="B31" s="10" t="n">
        <v>1997</v>
      </c>
      <c r="C31" s="10" t="n">
        <v>299</v>
      </c>
      <c r="D31" s="8" t="n">
        <v>17048000</v>
      </c>
      <c r="E31" s="8" t="n">
        <v>16425000</v>
      </c>
      <c r="F31" s="13" t="n">
        <v>0.1319</v>
      </c>
      <c r="G31" s="9">
        <f>D31*(1+F31)</f>
        <v/>
      </c>
      <c r="H31" s="9">
        <f>G31-E31</f>
        <v/>
      </c>
      <c r="I31" s="23">
        <f>H31/C31</f>
        <v/>
      </c>
      <c r="J31" s="21" t="inlineStr">
        <is>
          <t>2 rural K-8 schools, nothing built; gap of $9,606 per child EXCEEDS the district's $6,108 total cost per student then: impossible as closure savings, a data-edge artifact</t>
        </is>
      </c>
    </row>
    <row r="33">
      <c r="A33" s="4" t="inlineStr">
        <is>
          <t>THE YARDSTICK: WHAT THIS PLAN REQUIRES PER DISPLACED STUDENT</t>
        </is>
      </c>
    </row>
    <row r="34">
      <c r="A34" s="3" t="inlineStr">
        <is>
          <t>Plan requirement, low / high ($800K-$1M over the 128 students displaced)</t>
        </is>
      </c>
      <c r="B34" s="23">
        <f>800000/Assumptions!B11</f>
        <v/>
      </c>
      <c r="C34" s="23">
        <f>1000000/Assumptions!B11</f>
        <v/>
      </c>
    </row>
    <row r="35">
      <c r="A35" s="3" t="inlineStr">
        <is>
          <t>This report's own model, per displaced student: median / central / best case</t>
        </is>
      </c>
      <c r="B35" s="9">
        <f>-21971/Assumptions!B11</f>
        <v/>
      </c>
      <c r="C35" s="9">
        <f>Closure_Model!B47/Assumptions!B11</f>
        <v/>
      </c>
      <c r="D35" s="9">
        <f>Closure_Model!B49/Assumptions!B11</f>
        <v/>
      </c>
    </row>
    <row r="36">
      <c r="A36" s="21" t="inlineStr">
        <is>
          <t>Reading: among rural ELEMENTARY closures, the one clean no-construction comparable (Webster 2012) paid $3,525 per displaced student; every case at or near the plan's band built a new school (Perry, Adair, Metcalfe) or was a city or county-seat grade reshuffle (Somerset, Montgomery). Gaps beyond roughly a school's own cost per student are flagged in the notes: they prove budget-wide causes, which is why this model prices closure bottom-up (positions, busing, SEEK) rather than from budget trends.</t>
        </is>
      </c>
    </row>
    <row r="38">
      <c r="A38" s="4" t="inlineStr">
        <is>
          <t>THE FULL DISTRIBUTION, PER DISPLACED STUDENT (all measurable events; whole budget gap credited to the closure)</t>
        </is>
      </c>
    </row>
    <row r="39">
      <c r="A39" s="3" t="inlineStr">
        <is>
          <t>All 163 events: P25 / median / P75</t>
        </is>
      </c>
      <c r="B39" s="8" t="n">
        <v>-1875</v>
      </c>
      <c r="C39" s="8" t="n">
        <v>1102</v>
      </c>
      <c r="D39" s="8" t="n">
        <v>7520</v>
      </c>
    </row>
    <row r="40">
      <c r="A40" s="3" t="inlineStr">
        <is>
          <t>Physically plausible magnitudes only (within $13K, 116 events): P25 / median / P75</t>
        </is>
      </c>
      <c r="B40" s="8" t="n">
        <v>-1433</v>
      </c>
      <c r="C40" s="8" t="n">
        <v>818</v>
      </c>
      <c r="D40" s="8" t="n">
        <v>4120</v>
      </c>
    </row>
    <row r="41">
      <c r="A41" s="3" t="inlineStr">
        <is>
          <t>Share of districts spending MORE than trend after closing (all / plausible-only)</t>
        </is>
      </c>
      <c r="B41" s="36" t="n">
        <v>0.4</v>
      </c>
      <c r="C41" s="36" t="n">
        <v>0.41</v>
      </c>
    </row>
    <row r="42">
      <c r="A42" s="3" t="inlineStr">
        <is>
          <t>Analogous-subset RAW median, published for transparency</t>
        </is>
      </c>
      <c r="B42" s="8" t="n">
        <v>8440</v>
      </c>
    </row>
    <row r="43">
      <c r="A43" s="21" t="inlineStr">
        <is>
          <t xml:space="preserve">  why $8,440 is an artifact, not a savings figure: dividing whole-district budget noise by 60-320 student denominators explodes per-child values; 11 of 27 such events exceed the $13K physical ceiling in one direction or the other. Same events, plausible window only, median:</t>
        </is>
      </c>
      <c r="B43" s="8" t="n">
        <v>541</v>
      </c>
    </row>
    <row r="44">
      <c r="A44" s="3" t="inlineStr">
        <is>
          <t>BRACKET CHECK (v3.9): the record's plausible median vs this model's independent bottom-up median per displaced student. These bracket rather than coincide and measure different things: the record credits a district's whole budget change to its closure (an upper bound by construction), the model prices only the levers a closure moves. Before the v3.9 fixed-cost rebuild the model read $713 and the two nearly coincided. Both remain far below the plan's $6,250-$7,813 requirement.</t>
        </is>
      </c>
      <c r="B44" s="8" t="n">
        <v>818</v>
      </c>
      <c r="C44" s="23">
        <f>Closure_Model!B47/Assumptions!B11</f>
        <v/>
      </c>
    </row>
    <row r="46">
      <c r="A46" s="4" t="inlineStr">
        <is>
          <t>OUTCOMES, WITHIN ONE TESTING SYSTEM (federal proficiency series, closures 2012-2016, change vs state 3 years out)</t>
        </is>
      </c>
    </row>
    <row r="47">
      <c r="A47" s="3" t="inlineStr">
        <is>
          <t>Events measurable / improved 3+ pts / declined 3+ pts / flat</t>
        </is>
      </c>
      <c r="B47" s="10" t="n">
        <v>42</v>
      </c>
      <c r="C47" s="10" t="n">
        <v>11</v>
      </c>
      <c r="D47" s="10" t="n">
        <v>10</v>
      </c>
      <c r="E47" s="10" t="n">
        <v>21</v>
      </c>
    </row>
    <row r="48">
      <c r="A48" s="3" t="inlineStr">
        <is>
          <t>Spearman correlation, share of district displaced vs score change</t>
        </is>
      </c>
      <c r="B48" s="12" t="n">
        <v>-0.38</v>
      </c>
    </row>
    <row r="49">
      <c r="A49" s="3" t="inlineStr">
        <is>
          <t>Median score change: events displacing 15%+ of district / under 15%</t>
        </is>
      </c>
      <c r="B49" s="29" t="n">
        <v>-2</v>
      </c>
      <c r="C49" s="29" t="n">
        <v>-0.2</v>
      </c>
    </row>
    <row r="50">
      <c r="A50" s="3" t="inlineStr">
        <is>
          <t>Events with BOTH clear savings and clear gains</t>
        </is>
      </c>
      <c r="B50" s="10" t="n">
        <v>1</v>
      </c>
      <c r="C50" s="2" t="inlineStr">
        <is>
          <t>Leslie County 2013: middle school folded into an existing campus in the same community</t>
        </is>
      </c>
    </row>
    <row r="51">
      <c r="A51" s="3" t="inlineStr">
        <is>
          <t>Cases of a rural town's ELEMENTARY closed with clear savings and clear gains</t>
        </is>
      </c>
      <c r="B51" s="26" t="n">
        <v>0</v>
      </c>
    </row>
    <row r="53">
      <c r="A53" s="21" t="inlineStr">
        <is>
          <t>Honest limits: closures before 2012 and after 2016 cannot be score-tested across Kentucky's assessment-system changes; whole-district mergers are unobservable afterward; and same-size Kentucky towns that KEPT schools declined in population at nearly the same median rate as towns that lost them (-4.1 vs -3.5 percent, 2000-2020), so no claim is made that closure causes population decline. The claim is narrower: the record contains no measurable precedent for the savings or the improvement this plan promises.</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63"/>
  <sheetViews>
    <sheetView showGridLines="1"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52" customWidth="1" min="7" max="7"/>
  </cols>
  <sheetData>
    <row r="1">
      <c r="A1" s="1" t="inlineStr">
        <is>
          <t>School-Level Costs Across Every Reporting System, and Every Breakeven Construction</t>
        </is>
      </c>
    </row>
    <row r="2">
      <c r="A2" s="2" t="inlineStr">
        <is>
          <t>Backs the two v3.8 site cards and the Section 4 additions. Three reporting systems with different definitions; compare within a system and a year, never across.</t>
        </is>
      </c>
    </row>
    <row r="4">
      <c r="A4" s="4" t="inlineStr">
        <is>
          <t>DISTRICT REVENUE BY SOURCE, PER MEMBER (KDE funding files; archived build/bourbon_revenue_by_source_2020_2024.csv)</t>
        </is>
      </c>
    </row>
    <row r="5">
      <c r="A5" s="17" t="inlineStr">
        <is>
          <t>Year</t>
        </is>
      </c>
      <c r="B5" s="17" t="inlineStr">
        <is>
          <t>Members</t>
        </is>
      </c>
      <c r="C5" s="17" t="inlineStr">
        <is>
          <t>Local</t>
        </is>
      </c>
      <c r="D5" s="17" t="inlineStr">
        <is>
          <t>State</t>
        </is>
      </c>
      <c r="E5" s="17" t="inlineStr">
        <is>
          <t>Federal</t>
        </is>
      </c>
      <c r="F5" s="17" t="inlineStr">
        <is>
          <t>Total/member</t>
        </is>
      </c>
    </row>
    <row r="6">
      <c r="A6" s="3" t="inlineStr">
        <is>
          <t>2019-20</t>
        </is>
      </c>
      <c r="B6" s="10" t="n">
        <v>2620</v>
      </c>
      <c r="C6" s="8" t="n">
        <v>9427594</v>
      </c>
      <c r="D6" s="8" t="n">
        <v>18087210</v>
      </c>
      <c r="E6" s="8" t="n">
        <v>5573373</v>
      </c>
      <c r="F6" s="9">
        <f>(C6+D6+E6)/B6</f>
        <v/>
      </c>
      <c r="G6" s="21" t="inlineStr">
        <is>
          <t>State column includes on-behalf pension and insurance payments that never pass through the district's accounts; net SEEK cash is $7.8M-$9.4M of it. Federal 2020-21 to 2022-23 carries ESSER.</t>
        </is>
      </c>
    </row>
    <row r="7">
      <c r="A7" s="3" t="inlineStr">
        <is>
          <t>2020-21</t>
        </is>
      </c>
      <c r="B7" s="10" t="n">
        <v>2561</v>
      </c>
      <c r="C7" s="8" t="n">
        <v>9934020</v>
      </c>
      <c r="D7" s="8" t="n">
        <v>17692714</v>
      </c>
      <c r="E7" s="8" t="n">
        <v>7900643</v>
      </c>
      <c r="F7" s="9">
        <f>(C7+D7+E7)/B7</f>
        <v/>
      </c>
    </row>
    <row r="8">
      <c r="A8" s="3" t="inlineStr">
        <is>
          <t>2021-22</t>
        </is>
      </c>
      <c r="B8" s="10" t="n">
        <v>2483</v>
      </c>
      <c r="C8" s="8" t="n">
        <v>10662819</v>
      </c>
      <c r="D8" s="8" t="n">
        <v>18079609</v>
      </c>
      <c r="E8" s="8" t="n">
        <v>9985007</v>
      </c>
      <c r="F8" s="9">
        <f>(C8+D8+E8)/B8</f>
        <v/>
      </c>
    </row>
    <row r="9">
      <c r="A9" s="3" t="inlineStr">
        <is>
          <t>2022-23</t>
        </is>
      </c>
      <c r="B9" s="10" t="n">
        <v>2454</v>
      </c>
      <c r="C9" s="8" t="n">
        <v>11808998</v>
      </c>
      <c r="D9" s="8" t="n">
        <v>20381341</v>
      </c>
      <c r="E9" s="8" t="n">
        <v>9550068</v>
      </c>
      <c r="F9" s="9">
        <f>(C9+D9+E9)/B9</f>
        <v/>
      </c>
    </row>
    <row r="10">
      <c r="A10" s="3" t="inlineStr">
        <is>
          <t>2023-24</t>
        </is>
      </c>
      <c r="B10" s="10" t="n">
        <v>2406</v>
      </c>
      <c r="C10" s="8" t="n">
        <v>13172314</v>
      </c>
      <c r="D10" s="8" t="n">
        <v>17149768</v>
      </c>
      <c r="E10" s="8" t="n">
        <v>8132977</v>
      </c>
      <c r="F10" s="9">
        <f>(C10+D10+E10)/B10</f>
        <v/>
      </c>
    </row>
    <row r="13">
      <c r="A13" s="4" t="inlineStr">
        <is>
          <t>THE 300-STUDENT BREAKEVEN, RECONSTRUCTED (cited at the committee meeting; no worksheet published)</t>
        </is>
      </c>
    </row>
    <row r="14">
      <c r="A14" s="3" t="inlineStr">
        <is>
          <t>Cost side: NMES 2023-24 report-card total per student</t>
        </is>
      </c>
      <c r="B14" s="8" t="n">
        <v>19348</v>
      </c>
      <c r="G14" s="21" t="inlineStr">
        <is>
          <t>KYRC24_FT_Spending_per_Student.csv; includes federal spending and embedded on-behalf</t>
        </is>
      </c>
    </row>
    <row r="15">
      <c r="A15" s="3" t="inlineStr">
        <is>
          <t>Times 128 students</t>
        </is>
      </c>
      <c r="B15" s="23">
        <f>B14*128</f>
        <v/>
      </c>
      <c r="G15" s="21" t="inlineStr">
        <is>
          <t>Equals $2,476,544 exactly, zero-dollar difference from the figure the 300 implies</t>
        </is>
      </c>
    </row>
    <row r="16">
      <c r="A16" s="3" t="inlineStr">
        <is>
          <t>Implied revenue denominator for a 300 breakeven</t>
        </is>
      </c>
      <c r="B16" s="9">
        <f>B15/300</f>
        <v/>
      </c>
    </row>
    <row r="17">
      <c r="A17" s="3" t="inlineStr">
        <is>
          <t>State-only revenue per member, 2022-23</t>
        </is>
      </c>
      <c r="B17" s="9">
        <f>D9/B9</f>
        <v/>
      </c>
      <c r="G17" s="21" t="inlineStr">
        <is>
          <t>$8,305: the only revenue definition in the state's files that lands near the implied $8,255</t>
        </is>
      </c>
    </row>
    <row r="18">
      <c r="A18" s="3" t="inlineStr">
        <is>
          <t>Breakeven N at state-only revenue</t>
        </is>
      </c>
      <c r="B18" s="42">
        <f>B15/B17</f>
        <v/>
      </c>
      <c r="G18" s="21" t="inlineStr">
        <is>
          <t>298 students. Per SEEK AADA (2,490) instead of members: 303. The 300 sits between the two bases.</t>
        </is>
      </c>
    </row>
    <row r="19">
      <c r="A19" s="3" t="inlineStr">
        <is>
          <t>Same fraction with matching definitions: all-in cost / total revenue per member (2023-24)</t>
        </is>
      </c>
      <c r="B19" s="20">
        <f>B15/F10</f>
        <v/>
      </c>
      <c r="G19" s="21" t="inlineStr">
        <is>
          <t>155 students, not 300. The 300 construction counts local and federal dollars on the cost side and skips them on the revenue side; those two sources bring $8,855 per student, more than the state share.</t>
        </is>
      </c>
    </row>
    <row r="21">
      <c r="A21" s="4" t="inlineStr">
        <is>
          <t>THE CORRECTED TEST, APPLIED TO EVERY SCHOOL (all-in cost per pupil / total revenue per member, 2023-24)</t>
        </is>
      </c>
    </row>
    <row r="22">
      <c r="A22" s="17" t="inlineStr">
        <is>
          <t>School</t>
        </is>
      </c>
      <c r="B22" s="17" t="inlineStr">
        <is>
          <t>Cost/pupil</t>
        </is>
      </c>
      <c r="C22" s="17" t="inlineStr">
        <is>
          <t>Enrolled</t>
        </is>
      </c>
      <c r="D22" s="17" t="inlineStr">
        <is>
          <t>Breakeven N</t>
        </is>
      </c>
      <c r="E22" s="17" t="inlineStr">
        <is>
          <t>Short by</t>
        </is>
      </c>
    </row>
    <row r="23">
      <c r="A23" s="3" t="inlineStr">
        <is>
          <t>North Middletown</t>
        </is>
      </c>
      <c r="B23" s="8" t="n">
        <v>19348</v>
      </c>
      <c r="C23" s="10" t="n">
        <v>128</v>
      </c>
      <c r="D23" s="27">
        <f>B23*C23/F$10</f>
        <v/>
      </c>
      <c r="E23" s="27">
        <f>D23-C23</f>
        <v/>
      </c>
    </row>
    <row r="24">
      <c r="A24" s="3" t="inlineStr">
        <is>
          <t>Bourbon Central</t>
        </is>
      </c>
      <c r="B24" s="8" t="n">
        <v>18131</v>
      </c>
      <c r="C24" s="10" t="n">
        <v>459</v>
      </c>
      <c r="D24" s="27">
        <f>B24*C24/F$10</f>
        <v/>
      </c>
      <c r="E24" s="27">
        <f>D24-C24</f>
        <v/>
      </c>
    </row>
    <row r="25">
      <c r="A25" s="3" t="inlineStr">
        <is>
          <t>Cane Ridge</t>
        </is>
      </c>
      <c r="B25" s="8" t="n">
        <v>18670</v>
      </c>
      <c r="C25" s="10" t="n">
        <v>453</v>
      </c>
      <c r="D25" s="27">
        <f>B25*C25/F$10</f>
        <v/>
      </c>
      <c r="E25" s="27">
        <f>D25-C25</f>
        <v/>
      </c>
    </row>
    <row r="26">
      <c r="A26" s="3" t="inlineStr">
        <is>
          <t>Bourbon Co Middle</t>
        </is>
      </c>
      <c r="B26" s="8" t="n">
        <v>16673</v>
      </c>
      <c r="C26" s="10" t="n">
        <v>590</v>
      </c>
      <c r="D26" s="27">
        <f>B26*C26/F$10</f>
        <v/>
      </c>
      <c r="E26" s="27">
        <f>D26-C26</f>
        <v/>
      </c>
    </row>
    <row r="27">
      <c r="A27" s="3" t="inlineStr">
        <is>
          <t>Bourbon Co High</t>
        </is>
      </c>
      <c r="B27" s="8" t="n">
        <v>17404</v>
      </c>
      <c r="C27" s="10" t="n">
        <v>766</v>
      </c>
      <c r="D27" s="27">
        <f>B27*C27/F$10</f>
        <v/>
      </c>
      <c r="E27" s="27">
        <f>D27-C27</f>
        <v/>
      </c>
    </row>
    <row r="28">
      <c r="A28" s="21" t="inlineStr">
        <is>
          <t>Every school in the district fails, including both receiving schools; Cane Ridge falls short by 76 students and about $1.2 million on this test, nearly three times NMES. Statewide, 1,146 of 1,151 A1 schools with reported data (99.6 percent) spend more per student all-in than $8,255. An average-cost breakeven in a drawdown year is a district-budget thermometer, not a school test.</t>
        </is>
      </c>
    </row>
    <row r="30">
      <c r="A30" s="4" t="inlineStr">
        <is>
          <t>THE REAL BREAKEVEN: FIXED SITE BASE VS THE FUNDING A STUDENT CARRIES</t>
        </is>
      </c>
    </row>
    <row r="31">
      <c r="A31" s="17" t="inlineStr">
        <is>
          <t>School</t>
        </is>
      </c>
      <c r="B31" s="17" t="inlineStr">
        <is>
          <t>Fixed base</t>
        </is>
      </c>
      <c r="C31" s="17" t="inlineStr">
        <is>
          <t>N (SEEK only)</t>
        </is>
      </c>
      <c r="D31" s="17" t="inlineStr">
        <is>
          <t>N if fed counted</t>
        </is>
      </c>
      <c r="E31" s="17" t="inlineStr">
        <is>
          <t>Enrolled</t>
        </is>
      </c>
    </row>
    <row r="32">
      <c r="A32" s="3" t="inlineStr">
        <is>
          <t>North Middletown</t>
        </is>
      </c>
      <c r="B32" s="18">
        <f>Assumptions!B51+Assumptions!B52</f>
        <v/>
      </c>
      <c r="C32" s="27">
        <f>B32/(Assumptions!B6-Assumptions!B62)</f>
        <v/>
      </c>
      <c r="D32" s="27">
        <f>B32/(Assumptions!B6+3380-Assumptions!B62)</f>
        <v/>
      </c>
      <c r="E32" s="10" t="n">
        <v>128</v>
      </c>
      <c r="G32" s="21" t="inlineStr">
        <is>
          <t>B51 and B52 are now the measured lines themselves and plant is scaled by KFICS replacement value for the other two schools. The district's FY2026 working budget measures North Middletown's own General Fund lines, excluding state-paid on-behalf, at school administration $132,744, plant operations $96,107 (the General Fund portion of function 2600; $119,909 across all funds) and instructional staff support, the school's library and media line, $49,097. Administration plus plant measure $227,831 on the program view used by B51 and B52, or $228,851 on the function view, against the $290,000 this model assumed for the same two components through v3.8. Local carries zero at the margin, because the levy does not change with enrollment, and federal carries zero as well, because Title I is a district allocation driven by resident poverty and reappears at whichever school the child attends. Column D keeps the federal case only to show how far the answer moves when you count it.</t>
        </is>
      </c>
    </row>
    <row r="33">
      <c r="A33" s="3" t="inlineStr">
        <is>
          <t>Cane Ridge</t>
        </is>
      </c>
      <c r="B33" s="9">
        <f>Assumptions!B51+Assumptions!B52*Facility_Plans!F68/Facility_Plans!F69</f>
        <v/>
      </c>
      <c r="C33" s="27">
        <f>B33/(Assumptions!B6-Assumptions!B62)</f>
        <v/>
      </c>
      <c r="D33" s="27">
        <f>B33/(Assumptions!B6+3380-Assumptions!B62)</f>
        <v/>
      </c>
      <c r="E33" s="10" t="n">
        <v>453</v>
      </c>
    </row>
    <row r="34">
      <c r="A34" s="3" t="inlineStr">
        <is>
          <t>Bourbon Central</t>
        </is>
      </c>
      <c r="B34" s="9">
        <f>Assumptions!B51+Assumptions!B52*Facility_Plans!F67/Facility_Plans!F69</f>
        <v/>
      </c>
      <c r="C34" s="27">
        <f>B34/(Assumptions!B6-Assumptions!B62)</f>
        <v/>
      </c>
      <c r="D34" s="27">
        <f>B34/(Assumptions!B6+3380-Assumptions!B62)</f>
        <v/>
      </c>
      <c r="E34" s="10" t="n">
        <v>459</v>
      </c>
    </row>
    <row r="35">
      <c r="A35" s="21" t="inlineStr">
        <is>
          <t>NMES clears its bar at roughly two to two and a half times its enrollment; the receiving schools at roughly 5 to 6 times. The full grid version with position, busing, and leaver effects brackets NMES at 20 to 122 (KY_Closures yardstick rows). Every construction except all-source-cost-over-state-only-revenue says every school pays its way.</t>
        </is>
      </c>
    </row>
    <row r="37">
      <c r="A37" s="4" t="inlineStr">
        <is>
          <t>SCHOOL-LEVEL SPENDING PER STUDENT, OLD SRC SYSTEM 2011-12 TO 2016-17 (KDE Learning Environment files; archived CSV in build/)</t>
        </is>
      </c>
    </row>
    <row r="38">
      <c r="A38" s="17" t="inlineStr">
        <is>
          <t>Year</t>
        </is>
      </c>
      <c r="B38" s="17" t="inlineStr">
        <is>
          <t>NMES</t>
        </is>
      </c>
      <c r="C38" s="17" t="inlineStr">
        <is>
          <t>NMES members</t>
        </is>
      </c>
      <c r="D38" s="17" t="inlineStr">
        <is>
          <t>BCES</t>
        </is>
      </c>
      <c r="E38" s="17" t="inlineStr">
        <is>
          <t>Cane Ridge</t>
        </is>
      </c>
      <c r="F38" s="17" t="inlineStr">
        <is>
          <t>NMES vs BCES</t>
        </is>
      </c>
    </row>
    <row r="39">
      <c r="A39" s="3" t="inlineStr">
        <is>
          <t>2011-12</t>
        </is>
      </c>
      <c r="B39" s="8" t="n">
        <v>9715</v>
      </c>
      <c r="C39" s="10" t="n">
        <v>177</v>
      </c>
      <c r="D39" s="8" t="n">
        <v>7351</v>
      </c>
      <c r="E39" s="8" t="n">
        <v>7740</v>
      </c>
      <c r="F39" s="43">
        <f>B39/D39-1</f>
        <v/>
      </c>
    </row>
    <row r="40">
      <c r="A40" s="3" t="inlineStr">
        <is>
          <t>2012-13</t>
        </is>
      </c>
      <c r="B40" s="8" t="n">
        <v>19635</v>
      </c>
      <c r="C40" s="10" t="n">
        <v>158</v>
      </c>
      <c r="D40" s="8" t="n">
        <v>10281</v>
      </c>
      <c r="E40" s="8" t="n">
        <v>11383</v>
      </c>
      <c r="F40" s="43">
        <f>B40/D40-1</f>
        <v/>
      </c>
      <c r="G40" s="21" t="inlineStr">
        <is>
          <t>2012-13 NMES prints $19,635, off both neighbors' trend by a factor of two in a renovation year: a capital charge booked to the site. Excluded from operating comparisons.</t>
        </is>
      </c>
    </row>
    <row r="41">
      <c r="A41" s="3" t="inlineStr">
        <is>
          <t>2013-14</t>
        </is>
      </c>
      <c r="B41" s="8" t="n">
        <v>9948</v>
      </c>
      <c r="C41" s="10" t="n">
        <v>154</v>
      </c>
      <c r="D41" s="8" t="n">
        <v>7123</v>
      </c>
      <c r="E41" s="8" t="n">
        <v>7718</v>
      </c>
      <c r="F41" s="43">
        <f>B41/D41-1</f>
        <v/>
      </c>
    </row>
    <row r="42">
      <c r="A42" s="3" t="inlineStr">
        <is>
          <t>2014-15</t>
        </is>
      </c>
      <c r="B42" s="8" t="n">
        <v>10999</v>
      </c>
      <c r="C42" s="10" t="n">
        <v>153</v>
      </c>
      <c r="D42" s="8" t="n">
        <v>8651</v>
      </c>
      <c r="E42" s="8" t="n">
        <v>9222</v>
      </c>
      <c r="F42" s="43">
        <f>B42/D42-1</f>
        <v/>
      </c>
    </row>
    <row r="43">
      <c r="A43" s="3" t="inlineStr">
        <is>
          <t>2015-16</t>
        </is>
      </c>
      <c r="B43" s="8" t="n">
        <v>11521</v>
      </c>
      <c r="C43" s="10" t="n">
        <v>149</v>
      </c>
      <c r="D43" s="8" t="n">
        <v>8705</v>
      </c>
      <c r="E43" s="8" t="n">
        <v>9655</v>
      </c>
      <c r="F43" s="43">
        <f>B43/D43-1</f>
        <v/>
      </c>
    </row>
    <row r="44">
      <c r="A44" s="3" t="inlineStr">
        <is>
          <t>2016-17</t>
        </is>
      </c>
      <c r="B44" s="8" t="n">
        <v>13260</v>
      </c>
      <c r="C44" s="10" t="n">
        <v>133</v>
      </c>
      <c r="D44" s="8" t="n">
        <v>9197</v>
      </c>
      <c r="E44" s="8" t="n">
        <v>9815</v>
      </c>
      <c r="F44" s="43">
        <f>B44/D44-1</f>
        <v/>
      </c>
    </row>
    <row r="45">
      <c r="A45" s="21" t="inlineStr">
        <is>
          <t>These are the deep-emptiness years (133-177 students): the premium is widest exactly when the building is emptiest. Two federal collections confirm the pattern independently: CRDC school-level salaries (archived) and the NCES school-level finance survey FY16-FY17 (archived).</t>
        </is>
      </c>
    </row>
    <row r="47">
      <c r="A47" s="4" t="inlineStr">
        <is>
          <t>THE 2000-01 REPORT CARDS: FOUR SCHOOLS, ONE SCALE CURVE (recovered from the Internet Archive; archive copies being added)</t>
        </is>
      </c>
    </row>
    <row r="48">
      <c r="A48" s="17" t="inlineStr">
        <is>
          <t>School</t>
        </is>
      </c>
      <c r="B48" s="17" t="inlineStr">
        <is>
          <t>Students</t>
        </is>
      </c>
      <c r="C48" s="17" t="inlineStr">
        <is>
          <t>Reported $/student</t>
        </is>
      </c>
      <c r="D48" s="17" t="inlineStr">
        <is>
          <t>Curve prediction</t>
        </is>
      </c>
    </row>
    <row r="49">
      <c r="A49" s="3" t="inlineStr">
        <is>
          <t>Bourbon Central</t>
        </is>
      </c>
      <c r="B49" s="10" t="n">
        <v>595</v>
      </c>
      <c r="C49" s="8" t="n">
        <v>3360</v>
      </c>
      <c r="D49" s="9">
        <f>B$55+B$54*E49</f>
        <v/>
      </c>
      <c r="E49" s="44">
        <f>1/B49</f>
        <v/>
      </c>
      <c r="G49" s="21" t="inlineStr">
        <is>
          <t>One formula, about $2,851 per student plus about $332,000 per building over the zone-assigned enrollment, predicts all four schools within 4 percent. No school on this table was mismanaged; the ranking is enrollment. Cane Ridge itself cost 21 percent more than Bourbon Central at 312 students. CATS-era cards may report prior-year spending; the within-year comparison is unaffected.</t>
        </is>
      </c>
    </row>
    <row r="50">
      <c r="A50" s="3" t="inlineStr">
        <is>
          <t>Cane Ridge</t>
        </is>
      </c>
      <c r="B50" s="10" t="n">
        <v>312</v>
      </c>
      <c r="C50" s="8" t="n">
        <v>4053</v>
      </c>
      <c r="D50" s="9">
        <f>B$55+B$54*E50</f>
        <v/>
      </c>
      <c r="E50" s="44">
        <f>1/B50</f>
        <v/>
      </c>
    </row>
    <row r="51">
      <c r="A51" s="3" t="inlineStr">
        <is>
          <t>North Middletown</t>
        </is>
      </c>
      <c r="B51" s="10" t="n">
        <v>193</v>
      </c>
      <c r="C51" s="8" t="n">
        <v>4414</v>
      </c>
      <c r="D51" s="9">
        <f>B$55+B$54*E51</f>
        <v/>
      </c>
      <c r="E51" s="44">
        <f>1/B51</f>
        <v/>
      </c>
    </row>
    <row r="52">
      <c r="A52" s="3" t="inlineStr">
        <is>
          <t>Millersburg</t>
        </is>
      </c>
      <c r="B52" s="10" t="n">
        <v>145</v>
      </c>
      <c r="C52" s="8" t="n">
        <v>5200</v>
      </c>
      <c r="D52" s="9">
        <f>B$55+B$54*E52</f>
        <v/>
      </c>
      <c r="E52" s="44">
        <f>1/B52</f>
        <v/>
      </c>
    </row>
    <row r="54">
      <c r="A54" s="3" t="inlineStr">
        <is>
          <t>Fixed base per building (least-squares slope on 1/N)</t>
        </is>
      </c>
      <c r="B54" s="23">
        <f>SLOPE(C49:C52,E49:E52)</f>
        <v/>
      </c>
    </row>
    <row r="55">
      <c r="A55" s="3" t="inlineStr">
        <is>
          <t>Variable cost per student (intercept)</t>
        </is>
      </c>
      <c r="B55" s="23">
        <f>INTERCEPT(C49:C52,E49:E52)</f>
        <v/>
      </c>
    </row>
    <row r="56">
      <c r="A56" s="3" t="inlineStr">
        <is>
          <t>Fit quality (R-squared)</t>
        </is>
      </c>
      <c r="B56" s="45">
        <f>RSQ(C49:C52,E49:E52)</f>
        <v/>
      </c>
    </row>
    <row r="58">
      <c r="A58" s="4" t="inlineStr">
        <is>
          <t>THE MILLERSBURG SYMMETRY: THE DISTRICT HAS RUN THIS EXPERIMENT</t>
        </is>
      </c>
    </row>
    <row r="59">
      <c r="A59" s="3" t="inlineStr">
        <is>
          <t>Millersburg premium over its receiving school, 2000-01 (per student x students)</t>
        </is>
      </c>
      <c r="B59" s="23">
        <f>(C52-C50)*B52</f>
        <v/>
      </c>
      <c r="G59" s="21" t="inlineStr">
        <is>
          <t>$166,315 in FY2001 dollars. Closed 2006; the 30-year record (KY_Closures tab) shows no measurable district budget bend afterward.</t>
        </is>
      </c>
    </row>
    <row r="60">
      <c r="A60" s="3" t="inlineStr">
        <is>
          <t>NMES premium over the cheaper receiving school, 2023-24 (same computation)</t>
        </is>
      </c>
      <c r="B60" s="23">
        <f>(B14-18131)*128</f>
        <v/>
      </c>
      <c r="G60" s="21" t="inlineStr">
        <is>
          <t>$155,776. The same experiment at almost the same number, twenty-three years apart.</t>
        </is>
      </c>
    </row>
    <row r="62">
      <c r="A62" s="4" t="inlineStr">
        <is>
          <t>STAFFING RECORD (federal CCD, 1996-2019; archived build/bourbon_staffing_ratios_ccd.csv)</t>
        </is>
      </c>
    </row>
    <row r="63">
      <c r="A63" s="21" t="inlineStr">
        <is>
          <t>NMES students per teacher at its 2007-09 enrollment peak (224 and 217 students): 16.0 and 15.5, vs 16.1-16.3 at Bourbon Central and Cane Ridge: parity. The ratio falls to 11.8 by 2012-13 as enrollment falls; the dollar premium peaks in the same years. 1998-2000 CCD teacher counts are corrupt for small Kentucky schools and excluded; single-year integer FTE wobbles about one student per teacher.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2026-08-01T20:55:46Z</dcterms:created>
  <dcterms:modified xmlns:dcterms="http://purl.org/dc/terms/" xmlns:xsi="http://www.w3.org/2001/XMLSchema-instance" xsi:type="dcterms:W3CDTF">2026-08-01T20:55:46Z</dcterms:modified>
</cp:coreProperties>
</file>