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and Bourbon County Colonel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128867</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170 to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$52,514: about 2.0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+$484,582 a year: the district's fullest documented case, still below the plan's $800K-$1M requirement</t>
        </is>
      </c>
    </row>
    <row r="50">
      <c r="A50" s="21" t="inlineStr">
        <is>
          <t>Distribution of all 5,832 combinations enumerated by build/closure_grid.py: capture, fixed-position, add-ons, property and busing levers take three values each, teachers four (0/1/2/3) and leavers six (0/13/26/38/51/64): 3^5 x 4 x 6 = 5,832. v4.5 lever weights: triangular 1-2-1 on the five levers with a documented central setting; uniform on teachers and leavers, where the record gives no defensible center. Weighted median -$20,007 (the median scenario LOSES money); middle half -$137,095 to +$98,603; 55 percent of weighted scenarios negative; range -$591,545 to +$484,582 (unweighted median -$24,431). v4.5 MUNIS pass: the fixed-position lever now uses FY2026 actuals from the district's own ledger ($214,104) instead of working-budget lines ($218,154).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+$141,780; middle half +$94,520 to +$182,654; floor +$3,331; ceiling +$386,904;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8"/>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$591,545 to plus $484,582 with a weighted median of minus $20,007,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6">
        <f>B117+B136</f>
        <v/>
      </c>
    </row>
    <row r="138">
      <c r="A138" s="3" t="inlineStr">
        <is>
          <t>Published planning pool: Bourbon County Schools kids in homeschool, private school, or another district</t>
        </is>
      </c>
      <c r="B138" s="5" t="inlineStr">
        <is>
          <t>450 to 550</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KRS 160.470 four percent revenue mechanics (context; the published lead lever is the 2018 restore, Tax_History rows 70-91)</t>
        </is>
      </c>
      <c r="B4" s="18">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18">
        <f>Redistricting!B30</f>
        <v/>
      </c>
      <c r="C11" s="18">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18">
        <f>25*(Assumptions!B6-Assumptions!B62)</f>
        <v/>
      </c>
      <c r="C12" s="18">
        <f>50*(Assumptions!B6-Assumptions!B62)</f>
        <v/>
      </c>
      <c r="D12" s="2" t="inlineStr">
        <is>
          <t>25-50 additional students at $4,226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2" t="inlineStr">
        <is>
          <t>Total identified (ranges overlap; not additive to the penny)</t>
        </is>
      </c>
      <c r="B13" s="24">
        <f>SUM(B4:B12)</f>
        <v/>
      </c>
      <c r="C13" s="24">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18">
        <f>GF_Summary!D16</f>
        <v/>
      </c>
    </row>
    <row r="21">
      <c r="A21" s="3" t="inlineStr">
        <is>
          <t>Closure net saving (base case)</t>
        </is>
      </c>
      <c r="B21" s="18">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23">
        <f>SUM(B7:B10)</f>
        <v/>
      </c>
      <c r="C26" s="23">
        <f>SUM(C7:C10)</f>
        <v/>
      </c>
    </row>
    <row r="27">
      <c r="A27" s="3" t="inlineStr">
        <is>
          <t>Move 2: grow enrollment instead of shrinking it (attendance recovery, fill NMES, district-wide recruitment)</t>
        </is>
      </c>
      <c r="B27" s="23">
        <f>B6+B11+B12</f>
        <v/>
      </c>
      <c r="C27" s="23">
        <f>C6+C11+C12</f>
        <v/>
      </c>
    </row>
    <row r="28">
      <c r="A28" s="3" t="inlineStr">
        <is>
          <t>Move 3: the honest revenue conversation, year one (this cell keeps the 4 percent + delinquency mechanics for continuity; the published lead lever is the 2018 restore, about $1.7M a year, Tax_History rows 82-89)</t>
        </is>
      </c>
      <c r="B28" s="23">
        <f>B4+B5</f>
        <v/>
      </c>
      <c r="C28" s="23">
        <f>C4+C5</f>
        <v/>
      </c>
    </row>
    <row r="29">
      <c r="A29" s="3" t="inlineStr">
        <is>
          <t>Growth plan total (equals the raw sum above; the published band is the conservative cut of the same rows)</t>
        </is>
      </c>
      <c r="B29" s="23">
        <f>B26+B27+B28</f>
        <v/>
      </c>
      <c r="C29" s="23">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275 of 550 leakage students recovered (275 x $4,226 = $1,162,150)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(Tax_History basis)</t>
        </is>
      </c>
      <c r="B32" s="8" t="n">
        <v>1699479</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23">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23">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23">
        <f>B37+B38</f>
        <v/>
      </c>
    </row>
    <row r="40">
      <c r="A40" s="21" t="inlineStr">
        <is>
          <t>Reading: at the website defaults (half the pool recovered, costs at the low end, full restore) the plan runs about $1.88M ahead of the trending fiscal 2026 gap, funds the 5 percent certified raise, and leaves about $1.38M for debt: about $17.9M of new GF-leveraged bonds plus the advisor's $32M, about $50 million of building capacity with every school open. The zero-recovery floor still clears the gap with about $721K to spare (raise + $2.8M of bonds, about $35M). At the slider top (all 550 recovered, levers high) the plan runs about $3.6M ahead: the raise plus about $40M of bonds, about $72M of capacity. Every 100 recovered leakage students move the surplus by $422,600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($52,514); the weighted median itself is negative (-$20,007)</t>
        </is>
      </c>
    </row>
    <row r="47">
      <c r="A47" s="3" t="inlineStr">
        <is>
          <t>Closure model median (v4.5 weighted grid)</t>
        </is>
      </c>
      <c r="B47" s="8" t="n">
        <v>-20007</v>
      </c>
      <c r="C47" s="9">
        <f>B47*(1-(1+B$40)^-B$41)/B$40</f>
        <v/>
      </c>
      <c r="F47" s="21" t="inlineStr">
        <is>
          <t>Closure_Model tab, 5,832-combination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(v4.5): at the +$484,582 best case FY2029 ends near $1.2M; at the -$20,007 weighted median the reserves go slightly FASTER than status quo; 55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weighted median LOSES $20,007 a year; the district's fullest documented case covers 9.1% of the $2.65M gap, the grid central case 2.0%, and the +$484,582 tail 18.3%; longer rides; enrollment-loss risk</t>
        </is>
      </c>
    </row>
    <row r="7">
      <c r="A7" s="3" t="inlineStr">
        <is>
          <t>3. Districtwide recovery plan (menu plus levy; includes rebalancing and growing NMES)</t>
        </is>
      </c>
      <c r="B7" s="18">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-20007/Assumptions!B11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2026-08-02T21:24:13Z</dcterms:created>
  <dcterms:modified xmlns:dcterms="http://purl.org/dc/terms/" xmlns:xsi="http://www.w3.org/2001/XMLSchema-instance" xsi:type="dcterms:W3CDTF">2026-08-02T21:24:13Z</dcterms:modified>
</cp:coreProperties>
</file>