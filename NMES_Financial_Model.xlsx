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67" fontId="7" fillId="3" borderId="0" pivotButton="0" quotePrefix="0" xfId="0"/>
    <xf numFmtId="165" fontId="8" fillId="0" borderId="0" pivotButton="0" quotePrefix="0" xfId="0"/>
    <xf numFmtId="166"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Share of the structural deficit ($2.65M) | of the reserve drawdown ($1.15M)</t>
        </is>
      </c>
      <c r="B35" s="19">
        <f>B34/(Assumptions!B24-Assumptions!B21)</f>
        <v/>
      </c>
      <c r="C35" s="19">
        <f>B34/GF_Summary!D16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5"/>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3" t="inlineStr">
        <is>
          <t>NMES multi-age reorganization</t>
        </is>
      </c>
      <c r="B14" s="8" t="n">
        <v>170000</v>
      </c>
      <c r="C14" s="8" t="n">
        <v>255000</v>
      </c>
      <c r="D14" s="2" t="inlineStr">
        <is>
          <t>Six or seven sections instead of nine, via attrition</t>
        </is>
      </c>
      <c r="E14" s="2" t="inlineStr">
        <is>
          <t>Cost reduction</t>
        </is>
      </c>
      <c r="F14" s="2" t="inlineStr">
        <is>
          <t>Medium; needs a staffing and grade-band plan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row r="25">
      <c r="A25" s="21" t="inlineStr">
        <is>
          <t>Reading: raw row sums run about $1.7M to $3.0M; the published $1.1M to $2.1M band takes roughly two thirds of them as a haircut for overlap and implementation risk. Coverage is reported against both yardsticks: the $2.65M structural gap before transfers and the roughly $1.15M net drawdown after transfers (Closure_Model rows 21 and 35 carry both for closure).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1"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8" t="n">
        <v>51.9</v>
      </c>
      <c r="C45" s="28" t="n">
        <v>59.7</v>
      </c>
      <c r="D45" s="28" t="n">
        <v>63.2</v>
      </c>
      <c r="E45" s="28" t="n">
        <v>53.2</v>
      </c>
      <c r="F45" s="28" t="n">
        <v>56.1</v>
      </c>
      <c r="G45" s="28" t="n">
        <v>55.6</v>
      </c>
      <c r="H45" s="28" t="n">
        <v>42.3</v>
      </c>
      <c r="I45" s="28" t="n">
        <v>48.4</v>
      </c>
      <c r="J45" s="28" t="n">
        <v>21.4</v>
      </c>
      <c r="K45" s="28" t="n">
        <v>32</v>
      </c>
      <c r="L45" s="28" t="n">
        <v>43</v>
      </c>
      <c r="M45" s="28" t="n">
        <v>45</v>
      </c>
      <c r="N45" s="28" t="n">
        <v>41</v>
      </c>
    </row>
    <row r="46">
      <c r="A46" s="3" t="inlineStr">
        <is>
          <t>Reading: Bourbon Central</t>
        </is>
      </c>
      <c r="B46" s="28" t="n">
        <v>62.1</v>
      </c>
      <c r="C46" s="28" t="n">
        <v>56.6</v>
      </c>
      <c r="D46" s="28" t="n">
        <v>61.2</v>
      </c>
      <c r="E46" s="28" t="n">
        <v>55.7</v>
      </c>
      <c r="F46" s="28" t="n">
        <v>47.9</v>
      </c>
      <c r="G46" s="28" t="n">
        <v>47.9</v>
      </c>
      <c r="H46" s="28" t="n">
        <v>49.3</v>
      </c>
      <c r="I46" s="28" t="n">
        <v>49.1</v>
      </c>
      <c r="J46" s="28" t="n">
        <v>27.1</v>
      </c>
      <c r="K46" s="28" t="n">
        <v>43</v>
      </c>
      <c r="L46" s="28" t="n">
        <v>37</v>
      </c>
      <c r="M46" s="28" t="n">
        <v>36</v>
      </c>
      <c r="N46" s="28" t="n">
        <v>38</v>
      </c>
    </row>
    <row r="47">
      <c r="A47" s="3" t="inlineStr">
        <is>
          <t>Reading: Cane Ridge</t>
        </is>
      </c>
      <c r="B47" s="28" t="n">
        <v>42.9</v>
      </c>
      <c r="C47" s="28" t="n">
        <v>47.2</v>
      </c>
      <c r="D47" s="28" t="n">
        <v>54.5</v>
      </c>
      <c r="E47" s="28" t="n">
        <v>55.3</v>
      </c>
      <c r="F47" s="28" t="n">
        <v>59.3</v>
      </c>
      <c r="G47" s="28" t="n">
        <v>57.1</v>
      </c>
      <c r="H47" s="28" t="n">
        <v>52</v>
      </c>
      <c r="I47" s="28" t="n">
        <v>49.6</v>
      </c>
      <c r="J47" s="28" t="n">
        <v>26.5</v>
      </c>
      <c r="K47" s="28" t="n">
        <v>44</v>
      </c>
      <c r="L47" s="28" t="n">
        <v>40</v>
      </c>
      <c r="M47" s="28" t="n">
        <v>40</v>
      </c>
      <c r="N47" s="28" t="n">
        <v>37</v>
      </c>
    </row>
    <row r="48">
      <c r="A48" s="3" t="inlineStr">
        <is>
          <t>Reading: Paris Elementary</t>
        </is>
      </c>
      <c r="B48" s="28" t="n">
        <v>31</v>
      </c>
      <c r="C48" s="28" t="n">
        <v>34.1</v>
      </c>
      <c r="D48" s="28" t="n">
        <v>42.9</v>
      </c>
      <c r="E48" s="28" t="n">
        <v>38.9</v>
      </c>
      <c r="F48" s="28" t="n">
        <v>41.2</v>
      </c>
      <c r="G48" s="28" t="n">
        <v>34.3</v>
      </c>
      <c r="H48" s="28" t="n">
        <v>34.4</v>
      </c>
      <c r="I48" s="28" t="n">
        <v>35.3</v>
      </c>
      <c r="J48" s="28" t="n">
        <v>25</v>
      </c>
      <c r="K48" s="28" t="n">
        <v>28</v>
      </c>
      <c r="L48" s="28" t="n">
        <v>25</v>
      </c>
      <c r="M48" s="28" t="n">
        <v>30</v>
      </c>
      <c r="N48" s="28" t="n">
        <v>25</v>
      </c>
    </row>
    <row r="49">
      <c r="A49" s="3" t="inlineStr">
        <is>
          <t>Mathematics: North Middletown</t>
        </is>
      </c>
      <c r="B49" s="28" t="n">
        <v>53.2</v>
      </c>
      <c r="C49" s="28" t="n">
        <v>49.4</v>
      </c>
      <c r="D49" s="28" t="n">
        <v>55.3</v>
      </c>
      <c r="E49" s="28" t="n">
        <v>59.5</v>
      </c>
      <c r="F49" s="28" t="n">
        <v>62.1</v>
      </c>
      <c r="G49" s="28" t="n">
        <v>50.8</v>
      </c>
      <c r="H49" s="28" t="n">
        <v>47.9</v>
      </c>
      <c r="I49" s="28" t="n">
        <v>48.4</v>
      </c>
      <c r="J49" s="28" t="n">
        <v>17.9</v>
      </c>
      <c r="K49" s="28" t="n">
        <v>31</v>
      </c>
      <c r="L49" s="28" t="n">
        <v>30</v>
      </c>
      <c r="M49" s="28" t="n">
        <v>45</v>
      </c>
      <c r="N49" s="28" t="n">
        <v>31</v>
      </c>
    </row>
    <row r="50">
      <c r="A50" s="3" t="inlineStr">
        <is>
          <t>Mathematics: Bourbon Central</t>
        </is>
      </c>
      <c r="B50" s="28" t="n">
        <v>47.1</v>
      </c>
      <c r="C50" s="28" t="n">
        <v>47.4</v>
      </c>
      <c r="D50" s="28" t="n">
        <v>43</v>
      </c>
      <c r="E50" s="28" t="n">
        <v>43.6</v>
      </c>
      <c r="F50" s="28" t="n">
        <v>40</v>
      </c>
      <c r="G50" s="28" t="n">
        <v>43.5</v>
      </c>
      <c r="H50" s="28" t="n">
        <v>41.8</v>
      </c>
      <c r="I50" s="28" t="n">
        <v>45.1</v>
      </c>
      <c r="J50" s="28" t="n">
        <v>31.7</v>
      </c>
      <c r="K50" s="28" t="n">
        <v>27</v>
      </c>
      <c r="L50" s="28" t="n">
        <v>28</v>
      </c>
      <c r="M50" s="28" t="n">
        <v>23</v>
      </c>
      <c r="N50" s="28" t="n">
        <v>28</v>
      </c>
    </row>
    <row r="51">
      <c r="A51" s="3" t="inlineStr">
        <is>
          <t>Mathematics: Cane Ridge</t>
        </is>
      </c>
      <c r="B51" s="28" t="n">
        <v>33.3</v>
      </c>
      <c r="C51" s="28" t="n">
        <v>37.7</v>
      </c>
      <c r="D51" s="28" t="n">
        <v>43.1</v>
      </c>
      <c r="E51" s="28" t="n">
        <v>46.1</v>
      </c>
      <c r="F51" s="28" t="n">
        <v>54.4</v>
      </c>
      <c r="G51" s="28" t="n">
        <v>45.9</v>
      </c>
      <c r="H51" s="28" t="n">
        <v>41.5</v>
      </c>
      <c r="I51" s="28" t="n">
        <v>39</v>
      </c>
      <c r="J51" s="28" t="n">
        <v>25.2</v>
      </c>
      <c r="K51" s="28" t="n">
        <v>33</v>
      </c>
      <c r="L51" s="28" t="n">
        <v>35</v>
      </c>
      <c r="M51" s="28" t="n">
        <v>30</v>
      </c>
      <c r="N51" s="28" t="n">
        <v>27</v>
      </c>
    </row>
    <row r="52">
      <c r="A52" s="3" t="inlineStr">
        <is>
          <t>Mathematics: Paris Elementary</t>
        </is>
      </c>
      <c r="B52" s="28" t="n">
        <v>29.7</v>
      </c>
      <c r="C52" s="28" t="n">
        <v>25</v>
      </c>
      <c r="D52" s="28" t="n">
        <v>26.8</v>
      </c>
      <c r="E52" s="28" t="n">
        <v>22.9</v>
      </c>
      <c r="F52" s="28" t="n">
        <v>41.9</v>
      </c>
      <c r="G52" s="28" t="n">
        <v>28.7</v>
      </c>
      <c r="H52" s="28" t="n">
        <v>30</v>
      </c>
      <c r="I52" s="28" t="n">
        <v>32</v>
      </c>
      <c r="J52" s="28" t="n">
        <v>15.3</v>
      </c>
      <c r="K52" s="28" t="n">
        <v>23</v>
      </c>
      <c r="L52" s="28" t="n">
        <v>32</v>
      </c>
      <c r="M52" s="28" t="n">
        <v>27</v>
      </c>
      <c r="N52" s="28"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8" t="n">
        <v>62.6</v>
      </c>
      <c r="C56" s="28" t="n">
        <v>68.8</v>
      </c>
      <c r="D56" s="28" t="n">
        <v>71.40000000000001</v>
      </c>
      <c r="E56" s="28" t="n">
        <v>72.09999999999999</v>
      </c>
      <c r="F56" s="28" t="n">
        <v>79.09999999999999</v>
      </c>
      <c r="K56" s="28" t="n">
        <v>51.9</v>
      </c>
      <c r="L56" s="28" t="n">
        <v>62.2</v>
      </c>
      <c r="M56" s="28" t="n">
        <v>74.5</v>
      </c>
      <c r="N56" s="28" t="n">
        <v>54</v>
      </c>
    </row>
    <row r="57">
      <c r="A57" s="3" t="inlineStr">
        <is>
          <t>Bourbon Central</t>
        </is>
      </c>
      <c r="B57" s="28" t="n">
        <v>63.2</v>
      </c>
      <c r="C57" s="28" t="n">
        <v>63</v>
      </c>
      <c r="D57" s="28" t="n">
        <v>69.8</v>
      </c>
      <c r="E57" s="28" t="n">
        <v>67.8</v>
      </c>
      <c r="F57" s="28" t="n">
        <v>56.8</v>
      </c>
      <c r="K57" s="28" t="n">
        <v>52.8</v>
      </c>
      <c r="L57" s="28" t="n">
        <v>56.7</v>
      </c>
      <c r="M57" s="28" t="n">
        <v>50.3</v>
      </c>
      <c r="N57" s="28" t="n">
        <v>55.4</v>
      </c>
    </row>
    <row r="58">
      <c r="A58" s="3" t="inlineStr">
        <is>
          <t>Cane Ridge</t>
        </is>
      </c>
      <c r="B58" s="28" t="n">
        <v>53.3</v>
      </c>
      <c r="C58" s="28" t="n">
        <v>58.9</v>
      </c>
      <c r="D58" s="28" t="n">
        <v>69.2</v>
      </c>
      <c r="E58" s="28" t="n">
        <v>68.5</v>
      </c>
      <c r="F58" s="28" t="n">
        <v>65.5</v>
      </c>
      <c r="K58" s="28" t="n">
        <v>54.3</v>
      </c>
      <c r="L58" s="28" t="n">
        <v>51.8</v>
      </c>
      <c r="M58" s="28" t="n">
        <v>60.7</v>
      </c>
      <c r="N58" s="28" t="n">
        <v>47.8</v>
      </c>
    </row>
    <row r="59">
      <c r="A59" s="3" t="inlineStr">
        <is>
          <t>Paris Elementary</t>
        </is>
      </c>
      <c r="B59" s="28" t="n">
        <v>48</v>
      </c>
      <c r="C59" s="28" t="n">
        <v>49.9</v>
      </c>
      <c r="D59" s="28" t="n">
        <v>59.4</v>
      </c>
      <c r="E59" s="28" t="n">
        <v>54.8</v>
      </c>
      <c r="F59" s="28" t="n">
        <v>69.59999999999999</v>
      </c>
      <c r="K59" s="28" t="n">
        <v>46.1</v>
      </c>
      <c r="L59" s="28" t="n">
        <v>45.9</v>
      </c>
      <c r="M59" s="28" t="n">
        <v>40.7</v>
      </c>
      <c r="N59" s="28"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2"/>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2">
        <f>B13-B14</f>
        <v/>
      </c>
    </row>
    <row r="16">
      <c r="A16" s="3" t="inlineStr">
        <is>
          <t>NMES students needing seats on closure</t>
        </is>
      </c>
      <c r="B16" s="25">
        <f>Assumptions!B11</f>
        <v/>
      </c>
    </row>
    <row r="17">
      <c r="A17" s="3" t="inlineStr">
        <is>
          <t>Shortfall if closure proceeds today</t>
        </is>
      </c>
      <c r="B17" s="3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32">
        <f>D30+D31</f>
        <v/>
      </c>
    </row>
    <row r="34">
      <c r="A34" s="3" t="inlineStr">
        <is>
          <t>NMES fill rate even at the draft's own 154 rating</t>
        </is>
      </c>
      <c r="B34" s="33">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3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2026-07-21T02:04:01Z</dcterms:created>
  <dcterms:modified xsi:type="dcterms:W3CDTF">2026-07-21T02:04:01Z</dcterms:modified>
</cp:coreProperties>
</file>