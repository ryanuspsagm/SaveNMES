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the statistical median of missing students</t>
        </is>
      </c>
      <c r="B34" s="19">
        <f>B17+C17-63000-167*(Assumptions!B6+500-Assumptions!B62)</f>
        <v/>
      </c>
      <c r="F34" s="21">
        <f> $127,039 kept, minus $63,000 of busing, minus the statistical median of 167 missing students at $5,136 less the $400 supplies credit: the published -$726,873, the 16th percentile of the 4,860-scenario grid; the weighted median is a $474,042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4,860-scenario grid at row 37, median a $474,042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EIGHT LEVERS, 4,860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missing from the rolls at steady state (grid legs 38/74/137/167/194)</t>
        </is>
      </c>
      <c r="B43" s="10" t="n">
        <v>38</v>
      </c>
      <c r="C43" s="8" t="n">
        <v>137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quartiles at the class midpoint; 38 = roughly half the floor, the skeptic's leg.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C39+C40+C41*54479.4-C42-C43*(Assumptions!B6+C44-Assumptions!B62)-C45</f>
        <v/>
      </c>
      <c r="C47" s="2" t="inlineStr">
        <is>
          <t>-$463,042: the central case itself loses money, about 17 percent of the structural deficit added, not removed</t>
        </is>
      </c>
    </row>
    <row r="48">
      <c r="A48" s="3" t="inlineStr">
        <is>
          <t>Unfavorable tail (all levers adverse)</t>
        </is>
      </c>
      <c r="B48" s="9">
        <f>B39+B40+B41*54479.4-D42-D43*(Assumptions!B6+D44-Assumptions!B62)-D45</f>
        <v/>
      </c>
      <c r="C48" s="2" t="inlineStr">
        <is>
          <t>-$1,247,265 a year: the closure loses money</t>
        </is>
      </c>
    </row>
    <row r="49">
      <c r="A49" s="3" t="inlineStr">
        <is>
          <t>Favorable tail (all levers favorable)</t>
        </is>
      </c>
      <c r="B49" s="9">
        <f>D39+D40+D41*54479.4-B42-B43*(Assumptions!B6+B44-Assumptions!B62)-B45</f>
        <v/>
      </c>
      <c r="C49" s="2" t="inlineStr">
        <is>
          <t>+$323,614 a year: the grid's best case (every lever at its closure-friendliest, only the survey's skeptic-leg leavers), still below the plan's $800K-$1M requirement</t>
        </is>
      </c>
    </row>
    <row r="50">
      <c r="A50" s="21" t="inlineStr">
        <is>
          <t>Distribution of all 4,860 combinations enumerated by build/closure_grid.py: capture, fixed-position, add-ons, property and busing levers take three values each, teachers four (0/1/2/3) and missing students five (38/74/137/167/194): 3^5 x 4 x 5 = 4,860.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v5.0 lever weights: triangular 1-2-1 on the five levers with a documented central setting; uniform on teachers; survey-anchored 1-2-2-2-1 on missing students. Weighted median -$474,042 (the median scenario LOSES money); middle half -$657,341 to -$217,247; 94 percent of weighted scenarios negative; range -$1,247,265 to +$323,614 (unweighted median -$469,905).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$378,090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94 percent of priced closure scenarios lose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$1,247,265 to plus $323,614 with a weighted median of minus $474,042,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-$474,042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(-$463,042); the weighted median loses $474,042</t>
        </is>
      </c>
    </row>
    <row r="47">
      <c r="A47" s="3" t="inlineStr">
        <is>
          <t>Closure model median (v5.0 weighted grid)</t>
        </is>
      </c>
      <c r="B47" s="8" t="n">
        <v>-474042</v>
      </c>
      <c r="C47" s="9">
        <f>B47*(1-(1+B$40)^-B$41)/B$40</f>
        <v/>
      </c>
      <c r="F47" s="21" t="inlineStr">
        <is>
          <t>Closure_Model tab, 4,860-combination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+$323,614 best case FY2029 holds a modest cushion; at the -$474,042 weighted median the reserves go MUCH faster than status quo; 94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-474042</v>
      </c>
      <c r="C6" s="9">
        <f>Runway!E7</f>
        <v/>
      </c>
      <c r="D6" s="2" t="inlineStr">
        <is>
          <t>Unpublished</t>
        </is>
      </c>
      <c r="E6" s="2" t="inlineStr">
        <is>
          <t>Closure vote; the weighted median LOSES $474,042 a year (B6 is the grid median; the legacy single-point Closure_Model!B20 is superseded); the grid central case itself loses $463,042, and even the +$323,614 best-case tail covers only 12.2%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-474042/Assumptions!B11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2026-08-17T12:06:49Z</dcterms:created>
  <dcterms:modified xmlns:dcterms="http://purl.org/dc/terms/" xmlns:xsi="http://www.w3.org/2001/XMLSchema-instance" xsi:type="dcterms:W3CDTF">2026-08-17T12:06:49Z</dcterms:modified>
</cp:coreProperties>
</file>