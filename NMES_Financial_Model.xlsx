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Share of the structural deficit ($2.65M) | of the reserve drawdown ($1.15M)</t>
        </is>
      </c>
      <c r="B35" s="19">
        <f>B34/(Assumptions!B24-Assumptions!B21)</f>
        <v/>
      </c>
      <c r="C35" s="19">
        <f>B34/GF_Summary!D16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1" t="n">
        <v>20</v>
      </c>
    </row>
    <row r="42">
      <c r="A42" s="3" t="inlineStr">
        <is>
          <t>Annual debt service on the proposed bond</t>
        </is>
      </c>
      <c r="B42" s="30">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Matches the closure model's worst case</t>
        </is>
      </c>
    </row>
    <row r="47">
      <c r="A47" s="3" t="inlineStr">
        <is>
          <t>Closure model default net saving</t>
        </is>
      </c>
      <c r="B47" s="8" t="n">
        <v>361240</v>
      </c>
      <c r="C47" s="9">
        <f>B47*(1-(1+B$40)^-B$41)/B$40</f>
        <v/>
      </c>
      <c r="F47" s="21" t="inlineStr">
        <is>
          <t>Closure_Model tab</t>
        </is>
      </c>
    </row>
    <row r="48">
      <c r="A48" s="3" t="inlineStr">
        <is>
          <t>Closure model best case</t>
        </is>
      </c>
      <c r="B48" s="8" t="n">
        <v>725000</v>
      </c>
      <c r="C48" s="9">
        <f>B48*(1-(1+B$40)^-B$41)/B$40</f>
        <v/>
      </c>
      <c r="F48" s="21" t="inlineStr">
        <is>
          <t>Closure_Model tab</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inside the existing rate</t>
        </is>
      </c>
      <c r="B66" s="2" t="inlineStr">
        <is>
          <t>levied</t>
        </is>
      </c>
      <c r="F66" s="21" t="inlineStr">
        <is>
          <t>KDE SEEK District Payment Schedules show a nonzero Recallable Nickel state amount for Bourbon (041); the schedule equalizes only levied nickels</t>
        </is>
      </c>
    </row>
    <row r="67">
      <c r="A67" s="3" t="inlineStr">
        <is>
          <t>New annual state equalization on the recallable nickel (began FY2026)</t>
        </is>
      </c>
      <c r="B67" s="8" t="n">
        <v>276246</v>
      </c>
      <c r="F67" s="21" t="inlineStr">
        <is>
          <t>FY2027 SEEK schedule; $55,515 partial in FY2026.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0">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miscellaneous revenue budgeted at zero, received</t>
        </is>
      </c>
      <c r="B79" s="8" t="n">
        <v>1567829</v>
      </c>
      <c r="F79" s="21" t="inlineStr">
        <is>
          <t>If one-time, the underlying gap is about $1.9 million; the district should identify this receipt</t>
        </is>
      </c>
    </row>
    <row r="81">
      <c r="A81" s="4" t="inlineStr">
        <is>
          <t>SCENARIO: BALANCE THE BUDGET AND EXPAND BONDING CAPACITY, NO CLOSURE</t>
        </is>
      </c>
    </row>
    <row r="82">
      <c r="A82" s="2" t="inlineStr">
        <is>
          <t>Two cases differ only in the operating gap assumed. Conservative treats the FY2026 $1.57M receipt as one-time;</t>
        </is>
      </c>
    </row>
    <row r="83">
      <c r="A83" s="2" t="inlineStr">
        <is>
          <t>trend uses the unaudited FY2026 net change. Operations are balanced first; only the remainder services debt.</t>
        </is>
      </c>
    </row>
    <row r="84">
      <c r="B84" s="17" t="inlineStr">
        <is>
          <t>Conservative</t>
        </is>
      </c>
      <c r="C84" s="17" t="inlineStr">
        <is>
          <t>FY2026 trend</t>
        </is>
      </c>
    </row>
    <row r="85">
      <c r="A85" s="3" t="inlineStr">
        <is>
          <t>Operating gap to close first</t>
        </is>
      </c>
      <c r="B85" s="8" t="n">
        <v>1900000</v>
      </c>
      <c r="C85" s="8" t="n">
        <v>373989</v>
      </c>
      <c r="F85" s="21" t="inlineStr">
        <is>
          <t>Editable. $1.9M = FY2026 result excluding the unidentified receipt; $373,989 = FY2026 unaudited net change</t>
        </is>
      </c>
    </row>
    <row r="86">
      <c r="A86" s="3" t="inlineStr">
        <is>
          <t>New recurring revenue: 4 percent levy taken three years running</t>
        </is>
      </c>
      <c r="B86" s="18">
        <f>Tax_History!B32*(1.04^3-1)</f>
        <v/>
      </c>
      <c r="C86" s="18">
        <f>Tax_History!B32*(1.04^3-1)</f>
        <v/>
      </c>
      <c r="F86" s="21" t="inlineStr">
        <is>
          <t>Same base and compounding as the levy tab; year 1 is $313,162, year 3 cumulative $977,568</t>
        </is>
      </c>
    </row>
    <row r="87">
      <c r="A87" s="3" t="inlineStr">
        <is>
          <t>Recurring cost reductions, not from closing a school</t>
        </is>
      </c>
      <c r="B87" s="8" t="n">
        <v>1000000</v>
      </c>
      <c r="C87" s="8" t="n">
        <v>1000000</v>
      </c>
      <c r="F87" s="21" t="inlineStr">
        <is>
          <t>Editable. For scale from the FY2025 audit: district administration grew $221K in one year, salaries fell $224K through attrition, spending ran $859K under budget</t>
        </is>
      </c>
    </row>
    <row r="88">
      <c r="A88" s="3" t="inlineStr">
        <is>
          <t>Operating room left for debt service after the budget balances</t>
        </is>
      </c>
      <c r="B88" s="9">
        <f>MAX(0,B86+B87-B85)</f>
        <v/>
      </c>
      <c r="C88" s="9">
        <f>MAX(0,C86+C87-C85)</f>
        <v/>
      </c>
    </row>
    <row r="89">
      <c r="A89" s="3" t="inlineStr">
        <is>
          <t>General-fund bond capacity from that room</t>
        </is>
      </c>
      <c r="B89" s="9">
        <f>B88*(1-(1+B$40)^-B$41)/B$40</f>
        <v/>
      </c>
      <c r="C89" s="9">
        <f>C88*(1-(1+B$40)^-B$41)/B$40</f>
        <v/>
      </c>
    </row>
    <row r="90">
      <c r="A90" s="3" t="inlineStr">
        <is>
          <t>New state equalization on the already-levied recallable nickel</t>
        </is>
      </c>
      <c r="B90" s="8" t="n">
        <v>276246</v>
      </c>
      <c r="C90" s="8" t="n">
        <v>276246</v>
      </c>
      <c r="F90" s="21" t="inlineStr">
        <is>
          <t>FY2027 SEEK schedule; the recallable nickel itself is already levied and its local yield is already inside the building-fund stream above</t>
        </is>
      </c>
    </row>
    <row r="91">
      <c r="A91" s="3" t="inlineStr">
        <is>
          <t>Bond capacity from the new equalization</t>
        </is>
      </c>
      <c r="B91" s="9">
        <f>B90*(1-(1+B$40)^-B$41)/B$40</f>
        <v/>
      </c>
      <c r="C91" s="9">
        <f>C90*(1-(1+B$40)^-B$41)/B$40</f>
        <v/>
      </c>
    </row>
    <row r="92">
      <c r="A92" s="3" t="inlineStr">
        <is>
          <t>Existing unused restricted capacity, approximate</t>
        </is>
      </c>
      <c r="B92" s="8" t="n">
        <v>17600000</v>
      </c>
      <c r="C92" s="8" t="n">
        <v>17600000</v>
      </c>
      <c r="F92" s="21" t="inlineStr">
        <is>
          <t>FY2024 audit $23.5M less local share of the 2024 issue; fiscal agent's statement is the authority</t>
        </is>
      </c>
    </row>
    <row r="93">
      <c r="A93" s="22" t="inlineStr">
        <is>
          <t>Total capacity available without closing a school</t>
        </is>
      </c>
      <c r="B93" s="24">
        <f>B89+B91+B92</f>
        <v/>
      </c>
      <c r="C93" s="24">
        <f>C89+C91+C92</f>
        <v/>
      </c>
    </row>
    <row r="94">
      <c r="A94" s="2" t="inlineStr">
        <is>
          <t>Roughly $22.2 million in the conservative case and $42.1 million on the FY2026 trend, with the budget balanced</t>
        </is>
      </c>
    </row>
    <row r="95">
      <c r="A95" s="2" t="inlineStr">
        <is>
          <t>first in both. The administration's plan reaches $32 million at face value and leaves the deficit in place.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2"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2"/>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3">
        <f>B13-B14</f>
        <v/>
      </c>
    </row>
    <row r="16">
      <c r="A16" s="3" t="inlineStr">
        <is>
          <t>NMES students needing seats on closure</t>
        </is>
      </c>
      <c r="B16" s="25">
        <f>Assumptions!B11</f>
        <v/>
      </c>
    </row>
    <row r="17">
      <c r="A17" s="3" t="inlineStr">
        <is>
          <t>Shortfall if closure proceeds today</t>
        </is>
      </c>
      <c r="B17" s="33">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3">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3">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2026-07-25T11:46:03Z</dcterms:created>
  <dcterms:modified xsi:type="dcterms:W3CDTF">2026-07-25T11:46:03Z</dcterms:modified>
</cp:coreProperties>
</file>