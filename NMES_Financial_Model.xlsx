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GF_Summary" sheetId="3" state="visible" r:id="rId3"/>
    <sheet xmlns:r="http://schemas.openxmlformats.org/officeDocument/2006/relationships" name="Closure_Model" sheetId="4" state="visible" r:id="rId4"/>
    <sheet xmlns:r="http://schemas.openxmlformats.org/officeDocument/2006/relationships" name="Growth_Model" sheetId="5" state="visible" r:id="rId5"/>
    <sheet xmlns:r="http://schemas.openxmlformats.org/officeDocument/2006/relationships" name="Redistricting" sheetId="6" state="visible" r:id="rId6"/>
    <sheet xmlns:r="http://schemas.openxmlformats.org/officeDocument/2006/relationships" name="Transport_Geo" sheetId="7" state="visible" r:id="rId7"/>
    <sheet xmlns:r="http://schemas.openxmlformats.org/officeDocument/2006/relationships" name="Alternatives" sheetId="8" state="visible" r:id="rId8"/>
    <sheet xmlns:r="http://schemas.openxmlformats.org/officeDocument/2006/relationships" name="Debt_Service" sheetId="9" state="visible" r:id="rId9"/>
    <sheet xmlns:r="http://schemas.openxmlformats.org/officeDocument/2006/relationships" name="Runway" sheetId="10" state="visible" r:id="rId10"/>
    <sheet xmlns:r="http://schemas.openxmlformats.org/officeDocument/2006/relationships" name="Scenarios" sheetId="11" state="visible" r:id="rId11"/>
    <sheet xmlns:r="http://schemas.openxmlformats.org/officeDocument/2006/relationships" name="Tax_History" sheetId="12" state="visible" r:id="rId12"/>
    <sheet xmlns:r="http://schemas.openxmlformats.org/officeDocument/2006/relationships" name="Demographics" sheetId="13" state="visible" r:id="rId13"/>
    <sheet xmlns:r="http://schemas.openxmlformats.org/officeDocument/2006/relationships" name="School_Data" sheetId="14" state="visible" r:id="rId14"/>
    <sheet xmlns:r="http://schemas.openxmlformats.org/officeDocument/2006/relationships" name="Facility_Plans" sheetId="15" state="visible" r:id="rId15"/>
    <sheet xmlns:r="http://schemas.openxmlformats.org/officeDocument/2006/relationships" name="KY_Closures" sheetId="16" state="visible" r:id="rId16"/>
    <sheet xmlns:r="http://schemas.openxmlformats.org/officeDocument/2006/relationships" name="School_Costs" sheetId="17" state="visible" r:id="rId17"/>
  </sheets>
  <definedNames/>
  <calcPr calcId="124519" fullCalcOnLoad="1"/>
</workbook>
</file>

<file path=xl/styles.xml><?xml version="1.0" encoding="utf-8"?>
<styleSheet xmlns="http://schemas.openxmlformats.org/spreadsheetml/2006/main">
  <numFmts count="10">
    <numFmt numFmtId="164" formatCode="$#,##0;($#,##0);&quot;-&quot;"/>
    <numFmt numFmtId="165" formatCode="#,##0;(#,##0);&quot;-&quot;"/>
    <numFmt numFmtId="166" formatCode="0.0%"/>
    <numFmt numFmtId="167" formatCode="0.0"/>
    <numFmt numFmtId="168" formatCode="0.000"/>
    <numFmt numFmtId="169" formatCode="+0.0%;-0.0%"/>
    <numFmt numFmtId="170" formatCode="&quot;$&quot;#,##0.00"/>
    <numFmt numFmtId="171" formatCode="+0.0;-0.0"/>
    <numFmt numFmtId="172" formatCode="+0%;-0%"/>
    <numFmt numFmtId="173" formatCode="0.0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65" fontId="8"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8" fillId="0" borderId="0" pivotButton="0" quotePrefix="0" xfId="0"/>
    <xf numFmtId="170" fontId="3" fillId="0" borderId="0" pivotButton="0" quotePrefix="0" xfId="0"/>
    <xf numFmtId="171" fontId="3" fillId="0" borderId="0" pivotButton="0" quotePrefix="0" xfId="0"/>
    <xf numFmtId="9" fontId="5" fillId="0" borderId="0" pivotButton="0" quotePrefix="0" xfId="0"/>
    <xf numFmtId="171" fontId="8" fillId="0" borderId="0" pivotButton="0" quotePrefix="0" xfId="0"/>
    <xf numFmtId="167" fontId="7" fillId="3" borderId="0" pivotButton="0" quotePrefix="0" xfId="0"/>
    <xf numFmtId="166" fontId="8" fillId="0" borderId="0" pivotButton="0" quotePrefix="0" xfId="0"/>
    <xf numFmtId="168" fontId="5" fillId="0" borderId="0" pivotButton="0" quotePrefix="0" xfId="0"/>
    <xf numFmtId="168" fontId="8" fillId="0" borderId="0" pivotButton="0" quotePrefix="0" xfId="0"/>
    <xf numFmtId="167" fontId="8" fillId="0" borderId="0" pivotButton="0" quotePrefix="0" xfId="0"/>
    <xf numFmtId="172" fontId="3" fillId="0" borderId="0" pivotButton="0" quotePrefix="0" xfId="0"/>
    <xf numFmtId="173" fontId="3" fillId="0" borderId="0" pivotButton="0" quotePrefix="0" xfId="0"/>
    <xf numFmtId="168"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14).</t>
        </is>
      </c>
    </row>
    <row r="21">
      <c r="A21" s="2" t="inlineStr">
        <is>
          <t xml:space="preserve">  Tax rates, fund split, delinquency check, and the 4% three-year path: Tax_History tab (backs Figure 18).</t>
        </is>
      </c>
    </row>
    <row r="22">
      <c r="A22" s="2" t="inlineStr">
        <is>
          <t xml:space="preserve">  Boundary rebalancing and fill-to-capacity scenario: Redistricting tab (backs the Section 9 worked example and Figure 15).</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and Bourbon County Colonel working alongside Claude, an AI research assistant from Anthropic. Built from public records and</t>
        </is>
      </c>
    </row>
    <row r="28">
      <c r="A28" s="3" t="inlineStr">
        <is>
          <t>Open Records Requests only. Estimates are labeled; every figure should be re-verified against the cited primary sources before</t>
        </is>
      </c>
    </row>
    <row r="29">
      <c r="A29" s="3" t="inlineStr">
        <is>
          <t>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School administration avoided (principal, office)</t>
        </is>
      </c>
      <c r="B51" s="14" t="n">
        <v>115397</v>
      </c>
      <c r="C51" s="2" t="inlineStr">
        <is>
          <t>MEASURED v4.5: district MUNIS ledger, FY2026 actuals, org 090 functions 2410+2420 (build/munis_extract.py). Was $131,724 from the working budget (program view; the function view prints $132,744, School_Costs!G32) through the prior release.</t>
        </is>
      </c>
    </row>
    <row r="52">
      <c r="A52" s="3" t="inlineStr">
        <is>
          <t>Plant operations avoided (custodial + building costs)</t>
        </is>
      </c>
      <c r="B52" s="14" t="n">
        <v>128867</v>
      </c>
      <c r="C52" s="2" t="inlineStr">
        <is>
          <t>MEASURED v4.5: MUNIS ledger, org 090 function 2610 actuals: custodial pay and benefits $49,655 + building utilities, disposal, telecom, supplies and repairs $79,211. Was $96,107 from the working budget.</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 GF-borne cost)</t>
        </is>
      </c>
      <c r="B12" s="18">
        <f>Assumptions!B53*Assumptions!B69</f>
        <v/>
      </c>
      <c r="C12" s="21" t="inlineStr">
        <is>
          <t>v3: GF-borne $60K per position (state pays TRS/KEHP on-behalf); prior versions used the $85K all-in figure here</t>
        </is>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Share of the structural deficit ($2.65M) | of the reserve drawdown ($1.15M)</t>
        </is>
      </c>
      <c r="B21" s="19">
        <f>B20/(Assumptions!B24-Assumptions!B21)</f>
        <v/>
      </c>
      <c r="C21" s="19">
        <f>B20/GF_Summary!D16</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18">
        <f>Assumptions!B41</f>
        <v/>
      </c>
      <c r="C34" s="21" t="inlineStr">
        <is>
          <t>Correct for KDE per-pupil comparisons; the district books $6.94M of on-behalf in FY2026</t>
        </is>
      </c>
    </row>
    <row r="35">
      <c r="A35" s="3" t="inlineStr">
        <is>
          <t>GF-borne cost per position (salary + ~5%)</t>
        </is>
      </c>
      <c r="B35" s="18">
        <f>Assumptions!B69</f>
        <v/>
      </c>
      <c r="C35" s="21" t="inlineStr">
        <is>
          <t>Published schedule: Rank III $41,718 (yr 0) to Rank I $71,447 (yr 29-30). The state pays TRS and KEHP on behalf of districts; eliminating a GF position saves the GF only $50K-$75K</t>
        </is>
      </c>
    </row>
    <row r="37">
      <c r="A37" s="4" t="inlineStr">
        <is>
          <t>V4.2 TWO-TAILED SENSITIVITY: SEVEN LEVERS, 5,832 COMBINATIONS (backs Figure 7)</t>
        </is>
      </c>
    </row>
    <row r="38">
      <c r="A38" s="17" t="inlineStr">
        <is>
          <t>Lever (low / central / high)</t>
        </is>
      </c>
      <c r="B38" s="17" t="inlineStr">
        <is>
          <t>Low</t>
        </is>
      </c>
      <c r="C38" s="17" t="inlineStr">
        <is>
          <t>Central</t>
        </is>
      </c>
      <c r="D38" s="17" t="inlineStr">
        <is>
          <t>High</t>
        </is>
      </c>
      <c r="E38" s="17" t="inlineStr">
        <is>
          <t>Source</t>
        </is>
      </c>
    </row>
    <row r="39">
      <c r="A39" s="3" t="inlineStr">
        <is>
          <t>Non-salary capture (their worksheet, + insurance at the full stop)</t>
        </is>
      </c>
      <c r="B39" s="8" t="n">
        <v>53519</v>
      </c>
      <c r="C39" s="8" t="n">
        <v>80279</v>
      </c>
      <c r="D39" s="8" t="n">
        <v>127039</v>
      </c>
      <c r="E39" s="2" t="inlineStr">
        <is>
          <t>District Response Appendix A: $107,039 of building-bound lines (utilities, telecom, maintenance, custodial supplies) captured at 50/75/100 percent, plus its ~$20,000 insurance figure at the full stop. The worksheet's other $40,693 (supplies, books, field trips, printing = $318/student vs our measured $331) travels with the students.</t>
        </is>
      </c>
    </row>
    <row r="40">
      <c r="A40" s="3" t="inlineStr">
        <is>
          <t>Fixed positions cut over time (school admin + custodial + library)</t>
        </is>
      </c>
      <c r="B40" s="10" t="n">
        <v>0</v>
      </c>
      <c r="C40" s="8" t="n">
        <v>107052.2</v>
      </c>
      <c r="D40" s="8" t="n">
        <v>214104.4</v>
      </c>
      <c r="E40" s="2" t="inlineStr">
        <is>
          <t>MUNIS FY2026 actuals: school administration $115,397 + custodial $49,655 + library $49,052 = $214,104 (the district's own A.1 prices the same four roles at $209,700, within 2 percent, and states all current staff are retained in year one; the full-cut leg is an attrition end state)</t>
        </is>
      </c>
    </row>
    <row r="41">
      <c r="A41" s="3" t="inlineStr">
        <is>
          <t>Teachers cut (grid legs 0/1/2/3) x $54,479.40 each</t>
        </is>
      </c>
      <c r="B41" s="10" t="n">
        <v>0</v>
      </c>
      <c r="C41" s="10" t="n">
        <v>2</v>
      </c>
      <c r="D41" s="10" t="n">
        <v>3</v>
      </c>
      <c r="E41" s="2" t="inlineStr">
        <is>
          <t>Priced at the district's OWN fully loaded 0-years-experience figure, $54,479.40 (Response Appendix A.1: 'Elementary Teachers: 2, $108,958.80'). The top leg credits 3 because Appendix B's own classroom count eliminates three homerooms net.</t>
        </is>
      </c>
    </row>
    <row r="42">
      <c r="A42" s="3" t="inlineStr">
        <is>
          <t>Added busing</t>
        </is>
      </c>
      <c r="B42" s="8" t="n">
        <v>20000</v>
      </c>
      <c r="C42" s="8" t="n">
        <v>63000</v>
      </c>
      <c r="D42" s="8" t="n">
        <v>190000</v>
      </c>
      <c r="E42" s="2" t="inlineStr">
        <is>
          <t>Derived bottom-up with uncertainty: 2-4 zone buses terminating in Paris (~9-11 road miles farther one-way), 2 loaded + 0-2 deadhead legs daily, 170 to 175 days, $3.25-$4.75/mile (KDE/NAPT band), high stop adds one $45,000 route split. Per zone student $160/$492/$1,495 vs the $1,032 district average. The July 2026 records response produced the current routes but answered N/A for any routing study or ride-time analysis.</t>
        </is>
      </c>
    </row>
    <row r="43">
      <c r="A43" s="3" t="inlineStr">
        <is>
          <t>Students leaving district (grid legs 0/13/26/38/51/64)</t>
        </is>
      </c>
      <c r="B43" s="10" t="n">
        <v>0</v>
      </c>
      <c r="C43" s="10" t="n">
        <v>26</v>
      </c>
      <c r="D43" s="10" t="n">
        <v>64</v>
      </c>
      <c r="E43" s="2" t="inlineStr">
        <is>
          <t>0 to 50 percent of 128, x ($4,626 SEEK base + the add-ons lever); exits free and funded under HB 563, homeschool and statewide virtual academy growing. CONSERVATIVE: this is the year-one wave only; if the same share of each entering class keeps leaving, the missing students more than double (x13/6) once every grade K-12 is short</t>
        </is>
      </c>
    </row>
    <row r="44">
      <c r="A44" s="3" t="inlineStr">
        <is>
          <t>SEEK add-ons lost per leaver</t>
        </is>
      </c>
      <c r="B44" s="10" t="n">
        <v>0</v>
      </c>
      <c r="C44" s="8" t="n">
        <v>500</v>
      </c>
      <c r="D44" s="8" t="n">
        <v>1000</v>
      </c>
      <c r="E44" s="2" t="inlineStr">
        <is>
          <t>At-risk weight (15% of base on a ~72% FRL school), exceptional-child weights, transportation component, $100 capital outlay</t>
        </is>
      </c>
    </row>
    <row r="45">
      <c r="A45" s="3" t="inlineStr">
        <is>
          <t>Property-value loss (zone tax base)</t>
        </is>
      </c>
      <c r="B45" s="10" t="n">
        <v>0</v>
      </c>
      <c r="C45" s="8" t="n">
        <v>47500</v>
      </c>
      <c r="D45" s="8" t="n">
        <v>95000</v>
      </c>
      <c r="E45" s="2" t="inlineStr">
        <is>
          <t>Roughly 0-10 percent of an estimated zone base; kept as foregone revenue because the board's rate practice does not raise rates to recapture zone valuation losses; PVA records ask pending</t>
        </is>
      </c>
    </row>
    <row r="47">
      <c r="A47" s="3" t="inlineStr">
        <is>
          <t>Central case: net yearly effect</t>
        </is>
      </c>
      <c r="B47" s="23">
        <f>C39+C40+C41*54479.4-C42-C43*(Assumptions!B6+C44)-C45</f>
        <v/>
      </c>
      <c r="C47" s="2" t="inlineStr">
        <is>
          <t>$52,514: about 2.0 percent of the structural deficit</t>
        </is>
      </c>
    </row>
    <row r="48">
      <c r="A48" s="3" t="inlineStr">
        <is>
          <t>Unfavorable tail (all levers adverse)</t>
        </is>
      </c>
      <c r="B48" s="9">
        <f>B39+B40+B41*54479.4-D42-D43*(Assumptions!B6+D44)-D45</f>
        <v/>
      </c>
      <c r="C48" s="2" t="inlineStr">
        <is>
          <t>-$591,545 a year: the closure loses money</t>
        </is>
      </c>
    </row>
    <row r="49">
      <c r="A49" s="3" t="inlineStr">
        <is>
          <t>Favorable tail (all levers favorable)</t>
        </is>
      </c>
      <c r="B49" s="9">
        <f>D39+D40+D41*54479.4-B42-B43*(Assumptions!B6+B44)-B45</f>
        <v/>
      </c>
      <c r="C49" s="2" t="inlineStr">
        <is>
          <t>+$484,582 a year: the district's fullest documented case, still below the plan's $800K-$1M requirement</t>
        </is>
      </c>
    </row>
    <row r="50">
      <c r="A50" s="21" t="inlineStr">
        <is>
          <t>Distribution of all 5,832 combinations enumerated by build/closure_grid.py: capture, fixed-position, add-ons, property and busing levers take three values each, teachers four (0/1/2/3) and leavers six (0/13/26/38/51/64): 3^5 x 4 x 6 = 5,832. v4.5 lever weights: triangular 1-2-1 on the five levers with a documented central setting; uniform on teachers and leavers, where the record gives no defensible center. Weighted median -$20,007 (the median scenario LOSES money); middle half -$137,095 to +$98,603; 55 percent of weighted scenarios negative; range -$591,545 to +$484,582 (unweighted median -$24,431). v4.5 MUNIS pass: the fixed-position lever now uses FY2026 actuals from the district's own ledger ($214,104) instead of working-budget lines ($218,154). One-time transition costs $100K-$300K in year one are additional. REBUILT IN v4.2 on the district's own 48-page Response to the 10 Questions (archived build/response_to_the_10_questions.pdf): the capture lever uses its Appendix A worksheet, every staffing position is priced at its own fully loaded $54,479.40 (Appendix A.1), the teacher top leg follows its own Appendix B classroom count, and the leakage lever runs to 50 percent. The v3.9 grid (2,916 scenarios, median +$21,571, 45 percent negative) is retained in the version history.</t>
        </is>
      </c>
    </row>
    <row r="52">
      <c r="A52" s="4" t="inlineStr">
        <is>
          <t>HOSTILE PAPER CASE, PUBLISHED WITH ITS REFUTATION</t>
        </is>
      </c>
    </row>
    <row r="53">
      <c r="A53" s="3" t="inlineStr">
        <is>
          <t>Every absorbed student priced at the $9,848 slope (withdrawn in v3.9; kept for the record)</t>
        </is>
      </c>
      <c r="B53" s="9">
        <f>Assumptions!B14*Assumptions!B11-128*9848-137500-10*Assumptions!B6</f>
        <v/>
      </c>
      <c r="C53" s="21" t="inlineStr">
        <is>
          <t>About $1.03M on paper, and the $9,848 slope itself was withdrawn in v3.9 (Redistricting row 111). Kept because the refutation stands either way: it requires Cane Ridge at 525 students against its approved 422 rating and Bourbon Central at 555 against 521: exactly the overcrowding the $14M renovation exists to cure. The savings pre-spend the bond.</t>
        </is>
      </c>
    </row>
    <row r="55">
      <c r="A55" s="4" t="inlineStr">
        <is>
          <t>MILLERSBURG, 2007: THE COUNTY'S OWN PRECEDENT (backs Figure 8)</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9"/>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 legacy single-point scenario, published grid summarized at row 17)</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IF(B6&gt;Assumptions!$B$63,49150,0)</f>
        <v/>
      </c>
      <c r="C10" s="9">
        <f>IF(C6&gt;Assumptions!$B$63,49150,0)</f>
        <v/>
      </c>
      <c r="D10" s="9">
        <f>IF(D6&gt;Assumptions!$B$63,49150,0)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row r="17">
      <c r="A17" s="4" t="inlineStr">
        <is>
          <t>THE PUBLISHED GROWTH GRID (build/growth_grid.py; the headline model behind the site calculator)</t>
        </is>
      </c>
    </row>
    <row r="18">
      <c r="A18" s="21" t="inlineStr">
        <is>
          <t>19,683 scenarios: added students 10 to 90; classroom-indexed hiring beyond the 25 open seats at 1 per 18/21/24; teacher cost $41,718/$49,150/$56,583 (certified schedule entry-to-mid rows); support staff none, 1 per 75 at $28,500, or 1 per 50 at $37,000 (staff-per and staff-cost enumerated as independent levers); busing $0/$500/$1,000 per recruit; marginal cost $400/$700/$1,000; SEEK add-ons $0/$500/$1,000. Weighted median +$141,780; middle half +$94,520 to +$182,654; floor +$3,331; ceiling +$386,904; zero negative scenarios.</t>
        </is>
      </c>
    </row>
    <row r="19">
      <c r="A19" s="21" t="inlineStr">
        <is>
          <t>The three-year table above is the legacy v3 transfer scenario, kept for continuity; its teacher line is priced at the certified schedule mid-row ($49,150), consistent with the published grid, rather than the $85,000 all-in comparison figure.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38"/>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July 2026 records response produced current bus routes but answered N/A for GIS files, routing-software reports, and ride-time analyses; the optimization inputs do not exist in public form.</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homerooms in use</t>
        </is>
      </c>
      <c r="B20" s="10" t="n">
        <v>6</v>
      </c>
      <c r="C20" s="2" t="inlineStr">
        <is>
          <t>One per grade K-5; NCES lists 9.41 classroom-teacher FTE, which also counts Title I, special ed and part-time certified</t>
        </is>
      </c>
    </row>
    <row r="21">
      <c r="A21" s="3" t="inlineStr">
        <is>
          <t>Average class size today</t>
        </is>
      </c>
      <c r="B21" s="20">
        <f>B5/B20</f>
        <v/>
      </c>
    </row>
    <row r="22">
      <c r="A22" s="3" t="inlineStr">
        <is>
          <t>Average class size at capacity</t>
        </is>
      </c>
      <c r="B22" s="20">
        <f>B14/B20</f>
        <v/>
      </c>
    </row>
    <row r="23">
      <c r="A23" s="21" t="inlineStr">
        <is>
          <t>Statutory caps (KRS 157.360): 24 in K-3, 28 in grade 4, 29 in grades 5-6. At an even mix, 174 students exceed the single-section caps in most grades, so the lever below prices new NMES sections honestly (v3.8 correction; earlier versions omitted this charge).</t>
        </is>
      </c>
    </row>
    <row r="24">
      <c r="A24" s="3" t="inlineStr">
        <is>
          <t>New sections needed at NMES under the caps (0 if the rezone is drawn grade-by-grade; 2 at a fully even mix)</t>
        </is>
      </c>
      <c r="B24" s="16" t="n">
        <v>1</v>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 (avoided and added sections both priced at the GF-borne $60K central; v3.8 subtracts the NMES additions)</t>
        </is>
      </c>
      <c r="B30" s="24">
        <f>B26-B27+(B28-B24)*Assumptions!B69</f>
        <v/>
      </c>
    </row>
    <row r="31">
      <c r="A31" s="22" t="inlineStr">
        <is>
          <t>Net recurring benefit, high (two avoided sections, same NMES debit)</t>
        </is>
      </c>
      <c r="B31" s="23">
        <f>B26-B27+(B29-B24)*Assumptions!B69</f>
        <v/>
      </c>
    </row>
    <row r="32">
      <c r="A32" s="21" t="inlineStr">
        <is>
          <t>Corner cases for the record: two added and none avoided gives about -$64,000; none added and two avoided gives about +$176,000. The published range uses the levers above.</t>
        </is>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the July 2026 records response provided a capacity graphic; grade-by-grade room files were not shared (building maps withheld for security), so relief stays conservatively booked.</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18">
        <f>Assumptions!B14</f>
        <v/>
      </c>
    </row>
    <row r="49">
      <c r="A49" s="3" t="inlineStr">
        <is>
          <t>NMES filled to 174 (state-approved rating), no added teachers</t>
        </is>
      </c>
      <c r="B49" s="9">
        <f>(B34+(B6-B5)*Assumptions!B62)/B6</f>
        <v/>
      </c>
      <c r="C49" s="21" t="inlineStr">
        <is>
          <t>Six existing homerooms hold 153 at the district's own Appendix B caps (24 K-3, 28 fourth, 29 fifth; 25 seats open today); filling to 174 needs one added section, priced in the row below</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2" t="inlineStr">
        <is>
          <t>NMES at 174 vs cheapest receiving school</t>
        </is>
      </c>
      <c r="B52" s="24">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18">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17" t="inlineStr">
        <is>
          <t>At 174</t>
        </is>
      </c>
      <c r="C64" s="17"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$12,140, roughly three times the class-cap marginal this workbook prices (about $3,670).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17" t="inlineStr">
        <is>
          <t>Year</t>
        </is>
      </c>
      <c r="B74" s="17" t="inlineStr">
        <is>
          <t>NMES members</t>
        </is>
      </c>
      <c r="C74" s="17" t="inlineStr">
        <is>
          <t>NMES $/pupil</t>
        </is>
      </c>
      <c r="D74" s="17" t="inlineStr">
        <is>
          <t>BCES $/pupil</t>
        </is>
      </c>
      <c r="E74" s="17" t="inlineStr">
        <is>
          <t>CRES $/pupil</t>
        </is>
      </c>
      <c r="F74" s="17" t="inlineStr">
        <is>
          <t>NMES at 174</t>
        </is>
      </c>
      <c r="G74" s="17"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about 16 percent over the five years, against 35 to 37 percent at Bourbon Central and 46 to 47 percent at Cane Ridge, on the state's per-student filings times each school's reported enrollment; the bands carry the two base-year counts the record offers, the district's 2021 facility plan enrollment and the federal fall 2019 count. Decomposed, NMES's per-student rise is roughly one third spending and two thirds divisor (total up about 16 percent over membership down about 23 percent); at Bourbon Central the same decomposition is mostly spending. That is the finding: at this school the divisor did most of the work.</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The July 2026 records response provided an elementary capacity graphic but no grade-by-grade files (building maps withheld for security);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effect runs minus $591,545 to plus $484,582 with a weighted median of minus $20,007,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17" t="inlineStr">
        <is>
          <t>Scenario (NMES/BCES/CRES caps)</t>
        </is>
      </c>
      <c r="B102" s="17" t="inlineStr">
        <is>
          <t>NMES</t>
        </is>
      </c>
      <c r="C102" s="17" t="inlineStr">
        <is>
          <t>BCES</t>
        </is>
      </c>
      <c r="D102" s="17" t="inlineStr">
        <is>
          <t>CRES</t>
        </is>
      </c>
      <c r="E102" s="17"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21" t="inlineStr">
        <is>
          <t>VALIDATION AGAINST ACTUALS: withdrawn in v3.9. The two-school cost slope used here depended on memberships (491 and 461) that appear in no archived source file and that contradict B8 and B9 above, and its sign flips from plus $9,848 to minus $941 to minus $22,564 across the three plausible membership pairs. The honest bound is the break-even marginal cost already computed live in rows 57 to 60.</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6">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St. Mary (Paris, PK-5; federal Private School Survey 2023-24). Bourbon Christian Academy (Millersburg, K-12) is absent from that voluntary survey, so its students are uncounted and the pool stays a floor</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 kept for context: the published pool counts the 247 exports as recoverable rather than netting them against imports)</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18">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23">
        <f>46*Assumptions!B6</f>
        <v/>
      </c>
    </row>
    <row r="134">
      <c r="A134" s="3" t="inlineStr">
        <is>
          <t>Capture rate that requires: share of registered homeschoolers / share of the full ACS pool</t>
        </is>
      </c>
      <c r="B134" s="19">
        <f>46/B119</f>
        <v/>
      </c>
      <c r="C134" s="19">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row r="136">
      <c r="A136" s="3" t="inlineStr">
        <is>
          <t>Residents enrolled in another district (KDE Non-Resident report SY2024-25: 171 at Paris Independent + 76 out of county)</t>
        </is>
      </c>
      <c r="B136" s="10" t="n">
        <v>247</v>
      </c>
    </row>
    <row r="137">
      <c r="A137" s="3" t="inlineStr">
        <is>
          <t>Documented Bourbon-specific floor: homeschool filings plus residents enrolled elsewhere</t>
        </is>
      </c>
      <c r="B137" s="26">
        <f>B117+B136</f>
        <v/>
      </c>
    </row>
    <row r="138">
      <c r="A138" s="3" t="inlineStr">
        <is>
          <t>Published planning pool: Bourbon County Schools kids in homeschool, private school, or another district</t>
        </is>
      </c>
      <c r="B138" s="5" t="inlineStr">
        <is>
          <t>450 to 550</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7">
        <f>B5*B9</f>
        <v/>
      </c>
    </row>
    <row r="11">
      <c r="A11" s="3" t="inlineStr">
        <is>
          <t>Paris-area zones (sq mi)</t>
        </is>
      </c>
      <c r="B11" s="27">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8" t="n">
        <v>2.5</v>
      </c>
      <c r="C27" s="2" t="inlineStr">
        <is>
          <t>Fuel, maintenance, driver time; replace with district cost data</t>
        </is>
      </c>
    </row>
    <row r="28">
      <c r="A28" s="3" t="inlineStr">
        <is>
          <t>Marginal cost per bus-mile, high</t>
        </is>
      </c>
      <c r="B28" s="28"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9"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9" t="n">
        <v>8.871</v>
      </c>
      <c r="C55" s="2" t="inlineStr">
        <is>
          <t>Great-circle between the school points; unrounded so derived cells match build/zone_distances.json</t>
        </is>
      </c>
    </row>
    <row r="56">
      <c r="A56" s="3" t="inlineStr">
        <is>
          <t>Measured road distance, US 460 (miles)</t>
        </is>
      </c>
      <c r="B56" s="29" t="n">
        <v>10</v>
      </c>
      <c r="C56" s="2" t="inlineStr">
        <is>
          <t>The one pair that can be measured exactly</t>
        </is>
      </c>
    </row>
    <row r="57">
      <c r="A57" s="3" t="inlineStr">
        <is>
          <t>Implied road factor on the measured pair</t>
        </is>
      </c>
      <c r="B57" s="30">
        <f>B56/B55</f>
        <v/>
      </c>
    </row>
    <row r="58">
      <c r="A58" s="3" t="inlineStr">
        <is>
          <t>Road factor applied elsewhere (the measured US 460 pair implies 1.13)</t>
        </is>
      </c>
      <c r="B58" s="28" t="n">
        <v>1.2</v>
      </c>
    </row>
    <row r="59">
      <c r="A59" s="3" t="inlineStr">
        <is>
          <t>Area-average added distance under closure, one way, straight-line</t>
        </is>
      </c>
      <c r="B59" s="29"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9" t="n">
        <v>15.1</v>
      </c>
      <c r="C61" s="2" t="inlineStr">
        <is>
          <t>8.3 miles to NMES; near the Nicholas County line</t>
        </is>
      </c>
    </row>
    <row r="62">
      <c r="A62" s="3" t="inlineStr">
        <is>
          <t>Farthest corner by road: to Paris / to NMES (miles)</t>
        </is>
      </c>
      <c r="B62" s="27">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2"/>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KRS 160.470 four percent revenue mechanics (context; the published lead lever is the 2018 restore, Tax_History rows 70-91)</t>
        </is>
      </c>
      <c r="B4" s="18">
        <f>Tax_History!B50</f>
        <v/>
      </c>
      <c r="C4" s="8" t="n">
        <v>375000</v>
      </c>
      <c r="D4" s="2" t="inlineStr">
        <is>
          <t>Low = year-one 4% revenue growth on the General Fund levied base; high allows base growth. A revenue cap, not a rate move.</t>
        </is>
      </c>
      <c r="E4" s="2" t="inlineStr">
        <is>
          <t>New revenue</t>
        </is>
      </c>
      <c r="F4" s="2" t="inlineStr">
        <is>
          <t>Mechanics only; the published revenue ask anchors on restoring the 2018 rate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Energy performance contracting</t>
        </is>
      </c>
      <c r="B10" s="8" t="n">
        <v>50000</v>
      </c>
      <c r="C10" s="8" t="n">
        <v>150000</v>
      </c>
      <c r="D10" s="2" t="inlineStr">
        <is>
          <t>10-25% of utilities; authorized by 702 KAR 4:160</t>
        </is>
      </c>
      <c r="E10" s="2" t="inlineStr">
        <is>
          <t>Cost reduction</t>
        </is>
      </c>
      <c r="F10" s="2" t="inlineStr">
        <is>
          <t>Medium; contracts are structured to self-fund</t>
        </is>
      </c>
    </row>
    <row r="11">
      <c r="A11" s="3" t="inlineStr">
        <is>
          <t>Fill NMES to capacity (rebalance + transfers, net)</t>
        </is>
      </c>
      <c r="B11" s="18">
        <f>Redistricting!B30</f>
        <v/>
      </c>
      <c r="C11" s="18">
        <f>Redistricting!B31</f>
        <v/>
      </c>
      <c r="D11" s="2" t="inlineStr">
        <is>
          <t>Boundary rebalancing and cross-county scenario, Redistricting tab</t>
        </is>
      </c>
      <c r="E11" s="2" t="inlineStr">
        <is>
          <t>New revenue, net of costs</t>
        </is>
      </c>
      <c r="F11" s="2" t="inlineStr">
        <is>
          <t>High; board boundary authority, math on Redistricting tab</t>
        </is>
      </c>
    </row>
    <row r="12">
      <c r="A12" s="3" t="inlineStr">
        <is>
          <t>District-wide recruitment beyond NMES's 46 seats (homeschool, private-school, nonresident incentives; v3.8)</t>
        </is>
      </c>
      <c r="B12" s="18">
        <f>25*(Assumptions!B6-Assumptions!B62)</f>
        <v/>
      </c>
      <c r="C12" s="18">
        <f>50*(Assumptions!B6-Assumptions!B62)</f>
        <v/>
      </c>
      <c r="D12" s="2" t="inlineStr">
        <is>
          <t>25-50 additional students at $4,226 net; pool measured on Redistricting rows 116-135 (236 in the district's own homeschool files, 247 residents enrolled in other districts, 450-550 in all with private school); 62 open seats exist at Bourbon Central's approved rating</t>
        </is>
      </c>
      <c r="E12" s="2" t="inlineStr">
        <is>
          <t>New revenue</t>
        </is>
      </c>
      <c r="F12" s="2" t="inlineStr">
        <is>
          <t>Medium; needs an enrollment marketing plan and incentive design</t>
        </is>
      </c>
    </row>
    <row r="13">
      <c r="A13" s="22" t="inlineStr">
        <is>
          <t>Total identified (ranges overlap; not additive to the penny)</t>
        </is>
      </c>
      <c r="B13" s="24">
        <f>SUM(B4:B12)</f>
        <v/>
      </c>
      <c r="C13" s="24">
        <f>SUM(C4:C12)</f>
        <v/>
      </c>
    </row>
    <row r="15">
      <c r="A15" s="4" t="inlineStr">
        <is>
          <t>COMPARISON</t>
        </is>
      </c>
    </row>
    <row r="16">
      <c r="A16" s="3" t="inlineStr">
        <is>
          <t>Package midpoint (raw sum of ranges)</t>
        </is>
      </c>
      <c r="B16" s="9">
        <f>(B13+C13)/2</f>
        <v/>
      </c>
    </row>
    <row r="17">
      <c r="A17" s="3" t="inlineStr">
        <is>
          <t>Published band, low (raw row sums, no haircut)</t>
        </is>
      </c>
      <c r="B17" s="9">
        <f>B13</f>
        <v/>
      </c>
    </row>
    <row r="18">
      <c r="A18" s="3" t="inlineStr">
        <is>
          <t>Published band, high (raw row sums, no haircut; the pre-v4.4 conservative $1.7M high is retired)</t>
        </is>
      </c>
      <c r="B18" s="9">
        <f>C13</f>
        <v/>
      </c>
    </row>
    <row r="19">
      <c r="A19" s="3" t="inlineStr">
        <is>
          <t>Band midpoint (used in Runway sheet)</t>
        </is>
      </c>
      <c r="B19" s="9">
        <f>(B17+B18)/2</f>
        <v/>
      </c>
    </row>
    <row r="20">
      <c r="A20" s="3" t="inlineStr">
        <is>
          <t>Average annual GF drawdown (FY2024-25)</t>
        </is>
      </c>
      <c r="B20" s="18">
        <f>GF_Summary!D16</f>
        <v/>
      </c>
    </row>
    <row r="21">
      <c r="A21" s="3" t="inlineStr">
        <is>
          <t>Closure net saving (base case)</t>
        </is>
      </c>
      <c r="B21" s="18">
        <f>Closure_Model!B20</f>
        <v/>
      </c>
    </row>
    <row r="23">
      <c r="A23" s="21" t="inlineStr">
        <is>
          <t>Reading: the raw-row band is $1.39M to $2.34M with no haircut (v4.4 review). The published headline is now the 2018 restore plus the counted-once cost package, $2.5M to $3.0M a year (transformative check below). Ranges overlap and are not additive to the penny, and each line carries its own confidence rating in column F. Medicaid and reimbursement recovery were removed from the menu in v4.2 review; shared services with Paris Independent was removed in v4.4 review. Coverage is reported against both yardsticks: the $2.65M structural gap before transfers and the roughly $1.15M net drawdown after transfers (Closure_Model row 21 carries both for closure).</t>
        </is>
      </c>
    </row>
    <row r="25">
      <c r="A25" s="4" t="inlineStr">
        <is>
          <t>THE GROWTH PATH: THE SAME MENU AS A DISTRICT-WIDE RECOVERY PLAN (v3.8; backs the site card and Section 9)</t>
        </is>
      </c>
    </row>
    <row r="26">
      <c r="A26" s="3" t="inlineStr">
        <is>
          <t>Move 1: inspect fixed costs (every non-teaching position via attrition, administrative restructuring, transport, energy)</t>
        </is>
      </c>
      <c r="B26" s="23">
        <f>SUM(B7:B10)</f>
        <v/>
      </c>
      <c r="C26" s="23">
        <f>SUM(C7:C10)</f>
        <v/>
      </c>
    </row>
    <row r="27">
      <c r="A27" s="3" t="inlineStr">
        <is>
          <t>Move 2: grow enrollment instead of shrinking it (attendance recovery, fill NMES, district-wide recruitment)</t>
        </is>
      </c>
      <c r="B27" s="23">
        <f>B6+B11+B12</f>
        <v/>
      </c>
      <c r="C27" s="23">
        <f>C6+C11+C12</f>
        <v/>
      </c>
    </row>
    <row r="28">
      <c r="A28" s="3" t="inlineStr">
        <is>
          <t>Move 3: the honest revenue conversation, year one (this cell keeps the 4 percent + delinquency mechanics for continuity; the published lead lever is the 2018 restore, about $1.7M a year, Tax_History rows 82-89)</t>
        </is>
      </c>
      <c r="B28" s="23">
        <f>B4+B5</f>
        <v/>
      </c>
      <c r="C28" s="23">
        <f>C4+C5</f>
        <v/>
      </c>
    </row>
    <row r="29">
      <c r="A29" s="3" t="inlineStr">
        <is>
          <t>Growth plan total (equals the raw sum above; the published band is the conservative cut of the same rows)</t>
        </is>
      </c>
      <c r="B29" s="23">
        <f>B26+B27+B28</f>
        <v/>
      </c>
      <c r="C29" s="23">
        <f>C26+C27+C28</f>
        <v/>
      </c>
    </row>
    <row r="30">
      <c r="A30" s="4" t="inlineStr">
        <is>
          <t>THE TRANSFORMATIVE CHECK (v4.5: enrollment lever re-based on recovered leakage students at $4,226 each; gap re-based on the trending fiscal 2026 ledger; capacity anchored on the district advisor's June 2026 presentation)</t>
        </is>
      </c>
    </row>
    <row r="31">
      <c r="A31" s="3" t="inlineStr">
        <is>
          <t>Plan levers at the website defaults: 275 of 550 leakage students recovered (275 x $4,226 = $1,162,150) + costs at the $760K low end</t>
        </is>
      </c>
      <c r="B31" s="8" t="n">
        <v>1922150</v>
      </c>
      <c r="C31" s="2" t="inlineStr">
        <is>
          <t>CORRECTED twice: an earlier release used $1.11M-$3.33M for the enrollment lever; the Move 2 rows price the near-term band at $260K-$530K; the website slider now prices the lever directly as recovered leakage students, 0 to the measured 550-student pool, at the $4,226 net-of-supplies cell in B49 legs. Every 100 recovered add $422,600 a year on top of this check.</t>
        </is>
      </c>
    </row>
    <row r="32">
      <c r="A32" s="3" t="inlineStr">
        <is>
          <t>Full 2018 rate restore (Tax_History basis)</t>
        </is>
      </c>
      <c r="B32" s="8" t="n">
        <v>1699479</v>
      </c>
    </row>
    <row r="33">
      <c r="A33" s="3" t="inlineStr">
        <is>
          <t>Trending structural gap, fiscal 2026 (June 2026 year-end ledger, before transfers)</t>
        </is>
      </c>
      <c r="B33" s="8" t="n">
        <v>1738653</v>
      </c>
      <c r="C33" s="2" t="inlineStr">
        <is>
          <t>District's own June 2026 GL: $20,694,287 of revenue against $22,432,940 of spending before transfers (fund balance $3,328,472 to $2,954,484 after $1,409,590 of transfers in; on-behalf cancels in the gap). The audited fiscal 2025 gap, Assumptions!B24-B21, was $2,648,086.</t>
        </is>
      </c>
    </row>
    <row r="34">
      <c r="A34" s="3" t="inlineStr">
        <is>
          <t>Recurring surplus after the trending gap (website defaults + full restore)</t>
        </is>
      </c>
      <c r="B34" s="23">
        <f>B31+B32-B33</f>
        <v/>
      </c>
    </row>
    <row r="35">
      <c r="A35" s="3" t="inlineStr">
        <is>
          <t>5% raise, every certified teacher (GF certified payroll x 5% x 1.0145 employer Medicare)</t>
        </is>
      </c>
      <c r="B35" s="9">
        <f>10000388*0.05*1.0145</f>
        <v/>
      </c>
      <c r="C35" s="2" t="inlineStr">
        <is>
          <t>GF object 0110 total, FY2026 working budget (archived build/fy2026_working_budget.pdf)</t>
        </is>
      </c>
    </row>
    <row r="36">
      <c r="A36" s="3" t="inlineStr">
        <is>
          <t>Left for new debt service</t>
        </is>
      </c>
      <c r="B36" s="9">
        <f>B34-B35</f>
        <v/>
      </c>
    </row>
    <row r="37">
      <c r="A37" s="3" t="inlineStr">
        <is>
          <t>New GF-leveraged bonds supported (4.5%, 20 years; same basis as Debt_Service)</t>
        </is>
      </c>
      <c r="B37" s="23">
        <f>B36*(1-1.045^-20)/0.045</f>
        <v/>
      </c>
    </row>
    <row r="38">
      <c r="A38" s="3" t="inlineStr">
        <is>
          <t>Bonding capacity per the district's own advisor (Baird, June 2026; build/baird_lpc_june2026.pdf)</t>
        </is>
      </c>
      <c r="B38" s="8" t="n">
        <v>32000000</v>
      </c>
      <c r="C38" s="2" t="inlineStr">
        <is>
          <t>From $3,252,893 of FY2027 bondable restricted revenues. Real only if the restricted stream pays for buildings: the $1.32M-a-year capital-to-operations sweep consumes about $17M of this capacity.</t>
        </is>
      </c>
    </row>
    <row r="39">
      <c r="A39" s="3" t="inlineStr">
        <is>
          <t>Building capacity, together</t>
        </is>
      </c>
      <c r="B39" s="23">
        <f>B37+B38</f>
        <v/>
      </c>
    </row>
    <row r="40">
      <c r="A40" s="21" t="inlineStr">
        <is>
          <t>Reading: at the website defaults (half the pool recovered, costs at the low end, full restore) the plan runs about $1.88M ahead of the trending fiscal 2026 gap, funds the 5 percent certified raise, and leaves about $1.38M for debt: about $17.9M of new GF-leveraged bonds plus the advisor's $32M, about $50 million of building capacity with every school open. The zero-recovery floor still clears the gap with about $721K to spare (raise + $2.8M of bonds, about $35M). At the slider top (all 550 recovered, levers high) the plan runs about $3.6M ahead: the raise plus about $40M of bonds, about $72M of capacity. Every 100 recovered leakage students move the surplus by $422,600 a year. The earlier 10-percent-raise / $52M top-end claim is withdrawn with the lever correction.</t>
        </is>
      </c>
    </row>
    <row r="41">
      <c r="A41" s="21" t="inlineStr">
        <is>
          <t>Baird sensitivities, their own June 2026 numbers: minus 50 students drops capacity to $31M (about $20,000 of bonding capacity per student); rates 100bp lower raise it to $35M. Unexpired SFCC offers of $126,250 a year expire January 2028 through January 2034.</t>
        </is>
      </c>
    </row>
    <row r="42">
      <c r="A42" s="21" t="inlineStr">
        <is>
          <t>NMES is not the reason salaries cannot rise (its honest excess cost is about $156,000, six tenths of a percent of the budget) and not the reason capital waits (about $17.6M of restricted capacity sits unused while the sweep drains the building fund). The structural problem is district-wide; so is the fix.</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9"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1">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2" t="n">
        <v>20</v>
      </c>
    </row>
    <row r="42">
      <c r="A42" s="3" t="inlineStr">
        <is>
          <t>Annual debt service on the proposed bond</t>
        </is>
      </c>
      <c r="B42" s="31">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Above the closure model's central case ($52,514); the weighted median itself is negative (-$20,007)</t>
        </is>
      </c>
    </row>
    <row r="47">
      <c r="A47" s="3" t="inlineStr">
        <is>
          <t>Closure model median (v4.5 weighted grid)</t>
        </is>
      </c>
      <c r="B47" s="8" t="n">
        <v>-20007</v>
      </c>
      <c r="C47" s="9">
        <f>B47*(1-(1+B$40)^-B$41)/B$40</f>
        <v/>
      </c>
      <c r="F47" s="21" t="inlineStr">
        <is>
          <t>Closure_Model tab, 5,832-combination grid; the median scenario loses money</t>
        </is>
      </c>
    </row>
    <row r="48">
      <c r="A48" s="3" t="inlineStr">
        <is>
          <t>Closure model best case (favorable tail)</t>
        </is>
      </c>
      <c r="B48" s="8" t="n">
        <v>484582</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1">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17" t="inlineStr">
        <is>
          <t>Conservative</t>
        </is>
      </c>
      <c r="C95" s="17" t="inlineStr">
        <is>
          <t>FY2026 trend</t>
        </is>
      </c>
    </row>
    <row r="96">
      <c r="A96" s="3" t="inlineStr">
        <is>
          <t>Operating gap to close first</t>
        </is>
      </c>
      <c r="B96" s="8" t="n">
        <v>1900000</v>
      </c>
      <c r="C96" s="8" t="n">
        <v>373989</v>
      </c>
      <c r="F96" s="21" t="inlineStr">
        <is>
          <t>Editable. $1.9M = FY2026 result excluding the unidentified receipt; $373,989 = FY2026 unaudited net change</t>
        </is>
      </c>
    </row>
    <row r="97">
      <c r="A97" s="3" t="inlineStr">
        <is>
          <t>New recurring revenue: 4 percent levy taken three years running (mechanics case; with the published 2018 restore instead, the gap clears in every case: Alternatives transformative check)</t>
        </is>
      </c>
      <c r="B97" s="18">
        <f>Tax_History!B32*(1.04^3-1)</f>
        <v/>
      </c>
      <c r="C97" s="18">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$1.24M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2" t="inlineStr">
        <is>
          <t>Total capacity available without closing a school</t>
        </is>
      </c>
      <c r="B105" s="24">
        <f>B101+B103+B104</f>
        <v/>
      </c>
      <c r="C105" s="24">
        <f>C101+C103+C104</f>
        <v/>
      </c>
    </row>
    <row r="106">
      <c r="A106" s="2" t="inlineStr">
        <is>
          <t>Roughly $22.2 million in the conservative case and $42.1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B6-GF_Summary!$D$16+0.5*Alternatives!$B$19</f>
        <v/>
      </c>
      <c r="D6" s="9">
        <f>C6-GF_Summary!$D$16+Alternatives!$B$19</f>
        <v/>
      </c>
      <c r="E6" s="9">
        <f>D6-GF_Summary!$D$16+Alternatives!$B$19</f>
        <v/>
      </c>
    </row>
    <row r="7">
      <c r="A7" s="3" t="inlineStr">
        <is>
          <t>Closure only (central case, $52,514,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18">
        <f>GF_Summary!$D$14</f>
        <v/>
      </c>
      <c r="C8" s="18">
        <f>GF_Summary!$D$14</f>
        <v/>
      </c>
      <c r="D8" s="18">
        <f>GF_Summary!$D$14</f>
        <v/>
      </c>
      <c r="E8" s="18">
        <f>GF_Summary!$D$14</f>
        <v/>
      </c>
    </row>
    <row r="9">
      <c r="A9" s="21" t="inlineStr">
        <is>
          <t>Closure range check (v4.5): at the +$484,582 best case FY2029 ends near $1.2M; at the -$20,007 weighted median the reserves go slightly FASTER than status quo; 55 percent of weighted scenarios lose money and drain reserves faster than doing nothing.</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the weighted median LOSES $20,007 a year; the district's fullest documented case covers 9.1% of the $2.65M gap, the grid central case 2.0%, and the +$484,582 tail 18.3%; longer rides; enrollment-loss risk</t>
        </is>
      </c>
    </row>
    <row r="7">
      <c r="A7" s="3" t="inlineStr">
        <is>
          <t>3. Districtwide recovery plan (menu plus levy; includes rebalancing and growing NMES)</t>
        </is>
      </c>
      <c r="B7" s="18">
        <f>Alternatives!B19</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11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48" customWidth="1" min="7" max="7"/>
  </cols>
  <sheetData>
    <row r="1">
      <c r="A1" s="1" t="inlineStr">
        <is>
          <t>Property Tax Rates, Fund Split, Delinquency, and the 4% Option</t>
        </is>
      </c>
    </row>
    <row r="2">
      <c r="A2" s="2" t="inlineStr">
        <is>
          <t>Backs Section 9 and Figure 18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9" t="n">
        <v>61.3</v>
      </c>
      <c r="G5" s="21" t="inlineStr">
        <is>
          <t>2019 documented as the board taking the 4% option (Bourbon County Citizen, 9/4/2019); other years' rate type undetermined pending KDE levy files</t>
        </is>
      </c>
    </row>
    <row r="6">
      <c r="A6" s="3" t="inlineStr">
        <is>
          <t>2019</t>
        </is>
      </c>
      <c r="B6" s="29" t="n">
        <v>60.6</v>
      </c>
    </row>
    <row r="7">
      <c r="A7" s="3" t="inlineStr">
        <is>
          <t>2020</t>
        </is>
      </c>
      <c r="B7" s="29" t="n">
        <v>55.9</v>
      </c>
    </row>
    <row r="8">
      <c r="A8" s="3" t="inlineStr">
        <is>
          <t>2021</t>
        </is>
      </c>
      <c r="B8" s="29" t="n">
        <v>54.2</v>
      </c>
    </row>
    <row r="9">
      <c r="A9" s="3" t="inlineStr">
        <is>
          <t>2022</t>
        </is>
      </c>
      <c r="B9" s="29" t="n">
        <v>49.2</v>
      </c>
    </row>
    <row r="10">
      <c r="A10" s="3" t="inlineStr">
        <is>
          <t>2023</t>
        </is>
      </c>
      <c r="B10" s="29" t="n">
        <v>52.4</v>
      </c>
    </row>
    <row r="11">
      <c r="A11" s="3" t="inlineStr">
        <is>
          <t>2024</t>
        </is>
      </c>
      <c r="B11" s="29" t="n">
        <v>52.4</v>
      </c>
    </row>
    <row r="12">
      <c r="A12" s="3" t="inlineStr">
        <is>
          <t>2025</t>
        </is>
      </c>
      <c r="B12" s="29" t="n">
        <v>52.4</v>
      </c>
    </row>
    <row r="14">
      <c r="A14" s="3" t="inlineStr">
        <is>
          <t>Tangible/personal rate (recent)</t>
        </is>
      </c>
      <c r="B14" s="29" t="n">
        <v>64.5</v>
      </c>
    </row>
    <row r="15">
      <c r="A15" s="3" t="inlineStr">
        <is>
          <t>Motor vehicle rate</t>
        </is>
      </c>
      <c r="B15" s="29" t="n">
        <v>54.7</v>
      </c>
    </row>
    <row r="16">
      <c r="A16" s="3" t="inlineStr">
        <is>
          <t>Utility gross receipts</t>
        </is>
      </c>
      <c r="B16" s="13" t="n">
        <v>0.03</v>
      </c>
    </row>
    <row r="18">
      <c r="A18" s="4" t="inlineStr">
        <is>
          <t>AREA DISTRICTS, LEVIED REAL ESTATE RATE 2024-25</t>
        </is>
      </c>
    </row>
    <row r="19">
      <c r="A19" s="3" t="inlineStr">
        <is>
          <t>Fayette County</t>
        </is>
      </c>
      <c r="B19" s="29"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9" t="n">
        <v>71.5</v>
      </c>
    </row>
    <row r="21">
      <c r="A21" s="3" t="inlineStr">
        <is>
          <t>Clark County</t>
        </is>
      </c>
      <c r="B21" s="29" t="n">
        <v>66.8</v>
      </c>
    </row>
    <row r="22">
      <c r="A22" s="3" t="inlineStr">
        <is>
          <t>Bath County</t>
        </is>
      </c>
      <c r="B22" s="29" t="n">
        <v>63.4</v>
      </c>
    </row>
    <row r="23">
      <c r="A23" s="3" t="inlineStr">
        <is>
          <t>Scott County</t>
        </is>
      </c>
      <c r="B23" s="29" t="n">
        <v>62.9</v>
      </c>
    </row>
    <row r="24">
      <c r="A24" s="3" t="inlineStr">
        <is>
          <t>Harrison County</t>
        </is>
      </c>
      <c r="B24" s="29" t="n">
        <v>57.7</v>
      </c>
    </row>
    <row r="25">
      <c r="A25" s="3" t="inlineStr">
        <is>
          <t>Montgomery County</t>
        </is>
      </c>
      <c r="B25" s="29" t="n">
        <v>52.5</v>
      </c>
    </row>
    <row r="26">
      <c r="A26" s="3" t="inlineStr">
        <is>
          <t>Bourbon County</t>
        </is>
      </c>
      <c r="B26" s="29" t="n">
        <v>52.4</v>
      </c>
    </row>
    <row r="27">
      <c r="A27" s="3" t="inlineStr">
        <is>
          <t>Nicholas County</t>
        </is>
      </c>
      <c r="B27" s="29" t="n">
        <v>43.1</v>
      </c>
    </row>
    <row r="28">
      <c r="A28" s="3" t="inlineStr">
        <is>
          <t>Statewide school average (DOR Table II, 2025)</t>
        </is>
      </c>
      <c r="B28" s="29"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General Fund real + personal collections</t>
        </is>
      </c>
      <c r="B48" s="18">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17" t="inlineStr">
        <is>
          <t>District</t>
        </is>
      </c>
      <c r="B57" s="17" t="inlineStr">
        <is>
          <t>2012-13</t>
        </is>
      </c>
      <c r="C57" s="17" t="inlineStr">
        <is>
          <t>2013-14</t>
        </is>
      </c>
      <c r="D57" s="17" t="inlineStr">
        <is>
          <t>2014-15</t>
        </is>
      </c>
      <c r="E57" s="17" t="inlineStr">
        <is>
          <t>2015-16</t>
        </is>
      </c>
      <c r="F57" s="17" t="inlineStr">
        <is>
          <t>2016-17</t>
        </is>
      </c>
      <c r="G57" s="17" t="inlineStr">
        <is>
          <t>2017-18</t>
        </is>
      </c>
      <c r="H57" s="17" t="inlineStr">
        <is>
          <t>2018-19</t>
        </is>
      </c>
      <c r="I57" s="17" t="inlineStr">
        <is>
          <t>2019-20</t>
        </is>
      </c>
      <c r="J57" s="17" t="inlineStr">
        <is>
          <t>2020-21</t>
        </is>
      </c>
      <c r="K57" s="17" t="inlineStr">
        <is>
          <t>2021-22</t>
        </is>
      </c>
      <c r="L57" s="17" t="inlineStr">
        <is>
          <t>2022-23</t>
        </is>
      </c>
      <c r="M57" s="17" t="inlineStr">
        <is>
          <t>2023-24</t>
        </is>
      </c>
      <c r="N57" s="17" t="inlineStr">
        <is>
          <t>2024-25</t>
        </is>
      </c>
      <c r="O57" s="17" t="inlineStr">
        <is>
          <t>2025-26</t>
        </is>
      </c>
      <c r="P57" s="17" t="inlineStr">
        <is>
          <t>Change</t>
        </is>
      </c>
    </row>
    <row r="58">
      <c r="A58" s="3" t="inlineStr">
        <is>
          <t>Bath</t>
        </is>
      </c>
      <c r="B58" s="29" t="n">
        <v>36.8</v>
      </c>
      <c r="C58" s="29" t="n">
        <v>44</v>
      </c>
      <c r="D58" s="29" t="n">
        <v>44.2</v>
      </c>
      <c r="E58" s="29" t="n">
        <v>44.8</v>
      </c>
      <c r="F58" s="29" t="n">
        <v>44.8</v>
      </c>
      <c r="G58" s="29" t="n">
        <v>47.2</v>
      </c>
      <c r="H58" s="29" t="n">
        <v>52.6</v>
      </c>
      <c r="I58" s="29" t="n">
        <v>52.6</v>
      </c>
      <c r="J58" s="29" t="n">
        <v>52.6</v>
      </c>
      <c r="K58" s="29" t="n">
        <v>52.4</v>
      </c>
      <c r="L58" s="29" t="n">
        <v>54.1</v>
      </c>
      <c r="M58" s="29" t="n">
        <v>57.8</v>
      </c>
      <c r="N58" s="29" t="n">
        <v>60.7</v>
      </c>
      <c r="O58" s="29" t="n">
        <v>63.4</v>
      </c>
      <c r="P58" s="33">
        <f>(O58/B58-1)</f>
        <v/>
      </c>
    </row>
    <row r="59">
      <c r="A59" s="3" t="inlineStr">
        <is>
          <t>Scott</t>
        </is>
      </c>
      <c r="B59" s="29" t="n">
        <v>45.3</v>
      </c>
      <c r="C59" s="29" t="n">
        <v>47.2</v>
      </c>
      <c r="D59" s="29" t="n">
        <v>47.6</v>
      </c>
      <c r="E59" s="29" t="n">
        <v>49</v>
      </c>
      <c r="F59" s="29" t="n">
        <v>49.6</v>
      </c>
      <c r="G59" s="29" t="n">
        <v>56.4</v>
      </c>
      <c r="H59" s="29" t="n">
        <v>56.4</v>
      </c>
      <c r="I59" s="29" t="n">
        <v>57.1</v>
      </c>
      <c r="J59" s="29" t="n">
        <v>57.6</v>
      </c>
      <c r="K59" s="29" t="n">
        <v>58.1</v>
      </c>
      <c r="L59" s="29" t="n">
        <v>58.1</v>
      </c>
      <c r="M59" s="29" t="n">
        <v>62.8</v>
      </c>
      <c r="N59" s="29" t="n">
        <v>62.9</v>
      </c>
      <c r="O59" s="29" t="n">
        <v>62.9</v>
      </c>
      <c r="P59" s="33">
        <f>(O59/B59-1)</f>
        <v/>
      </c>
    </row>
    <row r="60">
      <c r="A60" s="3" t="inlineStr">
        <is>
          <t>Harrison</t>
        </is>
      </c>
      <c r="B60" s="29" t="n">
        <v>43</v>
      </c>
      <c r="C60" s="29" t="n">
        <v>45.2</v>
      </c>
      <c r="D60" s="29" t="n">
        <v>47.2</v>
      </c>
      <c r="E60" s="29" t="n">
        <v>47.3</v>
      </c>
      <c r="F60" s="29" t="n">
        <v>49</v>
      </c>
      <c r="G60" s="29" t="n">
        <v>50.5</v>
      </c>
      <c r="H60" s="29" t="n">
        <v>50.5</v>
      </c>
      <c r="I60" s="29" t="n">
        <v>51.7</v>
      </c>
      <c r="J60" s="29" t="n">
        <v>51.7</v>
      </c>
      <c r="K60" s="29" t="n">
        <v>57.7</v>
      </c>
      <c r="L60" s="29" t="n">
        <v>57.7</v>
      </c>
      <c r="M60" s="29" t="n">
        <v>57.7</v>
      </c>
      <c r="N60" s="29" t="n">
        <v>57.7</v>
      </c>
      <c r="O60" s="29" t="n">
        <v>57.7</v>
      </c>
      <c r="P60" s="33">
        <f>(O60/B60-1)</f>
        <v/>
      </c>
    </row>
    <row r="61">
      <c r="A61" s="3" t="inlineStr">
        <is>
          <t>Clark</t>
        </is>
      </c>
      <c r="B61" s="29" t="n">
        <v>53.6</v>
      </c>
      <c r="C61" s="29" t="n">
        <v>55.9</v>
      </c>
      <c r="D61" s="29" t="n">
        <v>57.4</v>
      </c>
      <c r="E61" s="29" t="n">
        <v>60</v>
      </c>
      <c r="F61" s="29" t="n">
        <v>62.2</v>
      </c>
      <c r="G61" s="29" t="n">
        <v>62.2</v>
      </c>
      <c r="H61" s="29" t="n">
        <v>62.2</v>
      </c>
      <c r="I61" s="29" t="n">
        <v>63.7</v>
      </c>
      <c r="J61" s="29" t="n">
        <v>63.7</v>
      </c>
      <c r="K61" s="29" t="n">
        <v>64.90000000000001</v>
      </c>
      <c r="L61" s="29" t="n">
        <v>65.90000000000001</v>
      </c>
      <c r="M61" s="29" t="n">
        <v>67.5</v>
      </c>
      <c r="N61" s="29" t="n">
        <v>66.8</v>
      </c>
      <c r="O61" s="29" t="n">
        <v>65.5</v>
      </c>
      <c r="P61" s="33">
        <f>(O61/B61-1)</f>
        <v/>
      </c>
    </row>
    <row r="62">
      <c r="A62" s="3" t="inlineStr">
        <is>
          <t>Fayette</t>
        </is>
      </c>
      <c r="B62" s="29" t="n">
        <v>67.40000000000001</v>
      </c>
      <c r="C62" s="29" t="n">
        <v>69.59999999999999</v>
      </c>
      <c r="D62" s="29" t="n">
        <v>71.90000000000001</v>
      </c>
      <c r="E62" s="29" t="n">
        <v>74</v>
      </c>
      <c r="F62" s="29" t="n">
        <v>75</v>
      </c>
      <c r="G62" s="29" t="n">
        <v>75</v>
      </c>
      <c r="H62" s="29" t="n">
        <v>81</v>
      </c>
      <c r="I62" s="29" t="n">
        <v>81</v>
      </c>
      <c r="J62" s="29" t="n">
        <v>81</v>
      </c>
      <c r="K62" s="29" t="n">
        <v>80.8</v>
      </c>
      <c r="L62" s="29" t="n">
        <v>83.3</v>
      </c>
      <c r="M62" s="29" t="n">
        <v>81</v>
      </c>
      <c r="N62" s="29" t="n">
        <v>80.90000000000001</v>
      </c>
      <c r="O62" s="29" t="n">
        <v>79.8</v>
      </c>
      <c r="P62" s="33">
        <f>(O62/B62-1)</f>
        <v/>
      </c>
    </row>
    <row r="63">
      <c r="A63" s="3" t="inlineStr">
        <is>
          <t>Paris Ind</t>
        </is>
      </c>
      <c r="B63" s="29" t="n">
        <v>61</v>
      </c>
      <c r="C63" s="29" t="n">
        <v>64.09999999999999</v>
      </c>
      <c r="D63" s="29" t="n">
        <v>66.5</v>
      </c>
      <c r="E63" s="29" t="n">
        <v>69</v>
      </c>
      <c r="F63" s="29" t="n">
        <v>71.59999999999999</v>
      </c>
      <c r="G63" s="29" t="n">
        <v>74.40000000000001</v>
      </c>
      <c r="H63" s="29" t="n">
        <v>78.3</v>
      </c>
      <c r="I63" s="29" t="n">
        <v>80.40000000000001</v>
      </c>
      <c r="J63" s="29" t="n">
        <v>68.7</v>
      </c>
      <c r="K63" s="29" t="n">
        <v>74.5</v>
      </c>
      <c r="L63" s="29" t="n">
        <v>71.5</v>
      </c>
      <c r="M63" s="29" t="n">
        <v>71.5</v>
      </c>
      <c r="N63" s="29" t="n">
        <v>71.5</v>
      </c>
      <c r="O63" s="29" t="n">
        <v>71.5</v>
      </c>
      <c r="P63" s="33">
        <f>(O63/B63-1)</f>
        <v/>
      </c>
    </row>
    <row r="64">
      <c r="A64" s="3" t="inlineStr">
        <is>
          <t>Nicholas</t>
        </is>
      </c>
      <c r="B64" s="29" t="n">
        <v>38.4</v>
      </c>
      <c r="C64" s="29" t="n">
        <v>38.7</v>
      </c>
      <c r="D64" s="29" t="n">
        <v>38.5</v>
      </c>
      <c r="E64" s="29" t="n">
        <v>38.3</v>
      </c>
      <c r="F64" s="29" t="n">
        <v>38.5</v>
      </c>
      <c r="G64" s="29" t="n">
        <v>39.5</v>
      </c>
      <c r="H64" s="29" t="n">
        <v>39.6</v>
      </c>
      <c r="I64" s="29" t="n">
        <v>41</v>
      </c>
      <c r="J64" s="29" t="n">
        <v>40.1</v>
      </c>
      <c r="K64" s="29" t="n">
        <v>40.2</v>
      </c>
      <c r="L64" s="29" t="n">
        <v>41.4</v>
      </c>
      <c r="M64" s="29" t="n">
        <v>42.5</v>
      </c>
      <c r="N64" s="29" t="n">
        <v>43.6</v>
      </c>
      <c r="O64" s="29" t="n">
        <v>43.1</v>
      </c>
      <c r="P64" s="33">
        <f>(O64/B64-1)</f>
        <v/>
      </c>
    </row>
    <row r="65">
      <c r="A65" s="3" t="inlineStr">
        <is>
          <t>Montgomery</t>
        </is>
      </c>
      <c r="B65" s="29" t="n">
        <v>49.4</v>
      </c>
      <c r="C65" s="29" t="n">
        <v>49.4</v>
      </c>
      <c r="D65" s="29" t="n">
        <v>49</v>
      </c>
      <c r="E65" s="29" t="n">
        <v>48.9</v>
      </c>
      <c r="F65" s="29" t="n">
        <v>50.8</v>
      </c>
      <c r="G65" s="29" t="n">
        <v>51.3</v>
      </c>
      <c r="H65" s="29" t="n">
        <v>52.8</v>
      </c>
      <c r="I65" s="29" t="n">
        <v>52.3</v>
      </c>
      <c r="J65" s="29" t="n">
        <v>52.3</v>
      </c>
      <c r="K65" s="29" t="n">
        <v>52.3</v>
      </c>
      <c r="L65" s="29" t="n">
        <v>52.2</v>
      </c>
      <c r="M65" s="29" t="n">
        <v>52.4</v>
      </c>
      <c r="N65" s="29" t="n">
        <v>52.5</v>
      </c>
      <c r="O65" s="29" t="n">
        <v>52.5</v>
      </c>
      <c r="P65" s="33">
        <f>(O65/B65-1)</f>
        <v/>
      </c>
    </row>
    <row r="66">
      <c r="A66" s="3" t="inlineStr">
        <is>
          <t>Bourbon Co</t>
        </is>
      </c>
      <c r="B66" s="29" t="n">
        <v>55.4</v>
      </c>
      <c r="C66" s="29" t="n">
        <v>57.6</v>
      </c>
      <c r="D66" s="29" t="n">
        <v>57.3</v>
      </c>
      <c r="E66" s="29" t="n">
        <v>59.1</v>
      </c>
      <c r="F66" s="29" t="n">
        <v>58.8</v>
      </c>
      <c r="G66" s="29" t="n">
        <v>60</v>
      </c>
      <c r="H66" s="29" t="n">
        <v>61.3</v>
      </c>
      <c r="I66" s="29" t="n">
        <v>60.6</v>
      </c>
      <c r="J66" s="29" t="n">
        <v>55.9</v>
      </c>
      <c r="K66" s="29" t="n">
        <v>54.2</v>
      </c>
      <c r="L66" s="29" t="n">
        <v>49.2</v>
      </c>
      <c r="M66" s="29" t="n">
        <v>52.4</v>
      </c>
      <c r="N66" s="29" t="n">
        <v>52.4</v>
      </c>
      <c r="O66" s="29" t="n">
        <v>52.4</v>
      </c>
      <c r="P66" s="33">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row r="70">
      <c r="A70" s="4" t="inlineStr">
        <is>
          <t>BEYOND THE 4 PERCENT: THE RECALLABLE LEVY OPTIONS (KRS 160.470; backs the levy card and Section 9)</t>
        </is>
      </c>
    </row>
    <row r="71">
      <c r="A71" s="3" t="inlineStr">
        <is>
          <t>General Fund share of the levied 52.4 cents (KDE levied-rates file: 41.0 GF + 5.7 FSPK + 5.7 recallable)</t>
        </is>
      </c>
      <c r="B71" s="29" t="n">
        <v>41</v>
      </c>
    </row>
    <row r="72">
      <c r="A72" s="3" t="inlineStr">
        <is>
          <t>Yield per cent of General Fund rate, per year</t>
        </is>
      </c>
      <c r="B72" s="9">
        <f>B32/B71</f>
        <v/>
      </c>
      <c r="G72" s="21" t="inlineStr">
        <is>
          <t>FY2025 GF collections divided by the 41.0 GF cents: about $191,000 per cent. Real and personal property only; tangible and motor vehicle rates untouched, so every figure below is conservative</t>
        </is>
      </c>
    </row>
    <row r="73">
      <c r="A73" s="3" t="inlineStr">
        <is>
          <t>Median owner-occupied home value, Bourbon County (Census ACS 2019-2023, table B25077)</t>
        </is>
      </c>
      <c r="B73" s="8" t="n">
        <v>211600</v>
      </c>
    </row>
    <row r="74">
      <c r="A74" s="3" t="inlineStr">
        <is>
          <t>Cost per added cent to that household, per year</t>
        </is>
      </c>
      <c r="B74" s="34">
        <f>B73*0.01/100</f>
        <v/>
      </c>
      <c r="G74" s="21" t="inlineStr">
        <is>
          <t>$21.16 a year, $1.76 a month, per added cent. Homestead exemption shields about $46,000 of a senior homeowner's value; farmland is assessed at agricultural use value, not market; renters pay only what landlords pass through</t>
        </is>
      </c>
    </row>
    <row r="76">
      <c r="A76" s="17" t="inlineStr">
        <is>
          <t>Option</t>
        </is>
      </c>
      <c r="B76" s="17" t="inlineStr">
        <is>
          <t>New rate</t>
        </is>
      </c>
      <c r="C76" s="17" t="inlineStr">
        <is>
          <t>Added cents</t>
        </is>
      </c>
      <c r="D76" s="17" t="inlineStr">
        <is>
          <t>Revenue per year</t>
        </is>
      </c>
      <c r="E76" s="17" t="inlineStr">
        <is>
          <t>Median-home cost/yr</t>
        </is>
      </c>
      <c r="F76" s="17" t="inlineStr">
        <is>
          <t>Direct bond capacity</t>
        </is>
      </c>
    </row>
    <row r="77">
      <c r="A77" s="3" t="inlineStr">
        <is>
          <t>Match Harrison County (2025-26 levied rate)</t>
        </is>
      </c>
      <c r="B77" s="20">
        <f>B24</f>
        <v/>
      </c>
      <c r="C77" s="35">
        <f>B77-B12</f>
        <v/>
      </c>
      <c r="D77" s="9">
        <f>C77*$B$72</f>
        <v/>
      </c>
      <c r="E77" s="9">
        <f>C77*$B$74</f>
        <v/>
      </c>
      <c r="F77" s="9">
        <f>D77*(1-(1+Debt_Service!B40)^-Debt_Service!B41)/Debt_Service!B40</f>
        <v/>
      </c>
      <c r="G77" s="21" t="inlineStr">
        <is>
          <t>Rates pulled live from this tab: Harrison row 24, the 2025-26 columns of the levy table, and Bourbon's own 2018 row. Direct bond capacity uses the Debt_Service tab's 4.5 percent, 20-year assumption, the same one that prices the $14 million nickel-residual bond</t>
        </is>
      </c>
    </row>
    <row r="78">
      <c r="A78" s="3" t="inlineStr">
        <is>
          <t>Match the regional median (eight area districts, Fayette excluded)</t>
        </is>
      </c>
      <c r="B78" s="20">
        <f>MEDIAN(O58,O59,O60,O61,O63,O64,O65,O66)</f>
        <v/>
      </c>
      <c r="C78" s="35">
        <f>B78-B12</f>
        <v/>
      </c>
      <c r="D78" s="9">
        <f>C78*$B$72</f>
        <v/>
      </c>
      <c r="E78" s="9">
        <f>C78*$B$74</f>
        <v/>
      </c>
      <c r="F78" s="9">
        <f>D78*(1-(1+Debt_Service!B40)^-Debt_Service!B41)/Debt_Service!B40</f>
        <v/>
      </c>
    </row>
    <row r="79">
      <c r="A79" s="3" t="inlineStr">
        <is>
          <t>Restore Bourbon's own 2018 rate</t>
        </is>
      </c>
      <c r="B79" s="20">
        <f>B5</f>
        <v/>
      </c>
      <c r="C79" s="35">
        <f>B79-B12</f>
        <v/>
      </c>
      <c r="D79" s="9">
        <f>C79*$B$72</f>
        <v/>
      </c>
      <c r="E79" s="9">
        <f>C79*$B$74</f>
        <v/>
      </c>
      <c r="F79" s="9">
        <f>D79*(1-(1+Debt_Service!B40)^-Debt_Service!B41)/Debt_Service!B40</f>
        <v/>
      </c>
    </row>
    <row r="80">
      <c r="A80" s="3" t="inlineStr">
        <is>
          <t>Match Clark County (2025-26 levied rate)</t>
        </is>
      </c>
      <c r="B80" s="20">
        <f>O61</f>
        <v/>
      </c>
      <c r="C80" s="35">
        <f>B80-B12</f>
        <v/>
      </c>
      <c r="D80" s="9">
        <f>C80*$B$72</f>
        <v/>
      </c>
      <c r="E80" s="9">
        <f>C80*$B$74</f>
        <v/>
      </c>
      <c r="F80" s="9">
        <f>D80*(1-(1+Debt_Service!B40)^-Debt_Service!B41)/Debt_Service!B40</f>
        <v/>
      </c>
    </row>
    <row r="82">
      <c r="A82" s="4" t="inlineStr">
        <is>
          <t>THE SEQUENCE: BALANCE THE BUDGET FIRST, THEN BOND</t>
        </is>
      </c>
    </row>
    <row r="83">
      <c r="A83" s="3" t="inlineStr">
        <is>
          <t>First call on new recurring money: operating gap (FY2026 trend) plus ending the capital-to-GF sweep</t>
        </is>
      </c>
      <c r="B83" s="9">
        <f>Debt_Service!C96+Debt_Service!B99</f>
        <v/>
      </c>
      <c r="G83" s="21" t="inlineStr">
        <is>
          <t>$373,989 gap plus the $1,320,939 sweep = $1,694,928. Ending the sweep is what frees the building-fund residual to service new bonds</t>
        </is>
      </c>
    </row>
    <row r="84">
      <c r="A84" s="3" t="inlineStr">
        <is>
          <t>Revenue from restoring the 2018 rate</t>
        </is>
      </c>
      <c r="B84" s="9">
        <f>D79</f>
        <v/>
      </c>
    </row>
    <row r="85">
      <c r="A85" s="3" t="inlineStr">
        <is>
          <t>Margin after the gap is closed and the sweep ended</t>
        </is>
      </c>
      <c r="B85" s="23">
        <f>B84-B83</f>
        <v/>
      </c>
      <c r="G85" s="21" t="inlineStr">
        <is>
          <t>About $4,551. The rate this board itself levied in 2018 is, almost to the dollar, the make-the-General-Fund-stand-alone rate</t>
        </is>
      </c>
    </row>
    <row r="86">
      <c r="A86" s="3" t="inlineStr">
        <is>
          <t>Capacity unlocked once the sweep ends: nickel-residual bond</t>
        </is>
      </c>
      <c r="B86" s="9">
        <f>Debt_Service!B90</f>
        <v/>
      </c>
    </row>
    <row r="87">
      <c r="A87" s="3" t="inlineStr">
        <is>
          <t xml:space="preserve">  plus remaining restricted capacity (FY2024 audit less the 2024 issue)</t>
        </is>
      </c>
      <c r="B87" s="9">
        <f>Debt_Service!B64</f>
        <v/>
      </c>
    </row>
    <row r="88">
      <c r="A88" s="3" t="inlineStr">
        <is>
          <t xml:space="preserve">  plus bonds the new nickel equalization supports</t>
        </is>
      </c>
      <c r="B88" s="9">
        <f>Debt_Service!B68</f>
        <v/>
      </c>
    </row>
    <row r="89">
      <c r="A89" s="3" t="inlineStr">
        <is>
          <t>Construction capacity unlocked without pledging a cent of the new levy</t>
        </is>
      </c>
      <c r="B89" s="23">
        <f>B86+B87+B88</f>
        <v/>
      </c>
      <c r="G89" s="21" t="inlineStr">
        <is>
          <t>Roughly $35 million, for $15.69 a month on the median home, with nothing closed. The Harrison and median options are honest partial steps, leaving about $680,000 and $190,000 a year to find from the alternatives menu before the sweep can end; the Clark option adds about $10.5 million more direct capacity from its surplus</t>
        </is>
      </c>
    </row>
    <row r="91">
      <c r="A91" s="21" t="inlineStr">
        <is>
          <t>None of these is a recommendation of a particular number, and none is counted in the alternatives package total. The point is narrower: a menu of options exists between cut nothing and close a school, every one prices out larger than the most generous closure estimate, and every one carries a built-in democratic check. A levy above 4 percent can be recalled by the voters it taxes. A closed school cannot be recalled by the children it displaces. This community was offered that veto twice on the facilities nickels and twice declined to use it; it has never been offered the same vote on the operating levy that pays teachers.</t>
        </is>
      </c>
    </row>
    <row r="93">
      <c r="A93" s="4" t="inlineStr">
        <is>
          <t>HOUSE BILL 44: THE 4 PERCENT IS A LIMIT ON REVENUE, NOT ON THE RATE (backs Section 11 and Question 2)</t>
        </is>
      </c>
    </row>
    <row r="94">
      <c r="A94" s="3" t="inlineStr">
        <is>
          <t>Certified real and personal property assessment, FY2025 (audit)</t>
        </is>
      </c>
      <c r="B94" s="8" t="n">
        <v>1843569625</v>
      </c>
    </row>
    <row r="95">
      <c r="A95" s="3" t="inlineStr">
        <is>
          <t>General Fund rate levied, cents per $100</t>
        </is>
      </c>
      <c r="B95" s="30">
        <f>B71</f>
        <v/>
      </c>
    </row>
    <row r="96">
      <c r="A96" s="3" t="inlineStr">
        <is>
          <t>General Fund revenue at that rate on that assessment</t>
        </is>
      </c>
      <c r="B96" s="9">
        <f>B94*B95/100/100</f>
        <v/>
      </c>
      <c r="G96" s="21" t="inlineStr">
        <is>
          <t>$7,558,635 on the certified assessment. Actual FY2025 GF tax collections were $7,829,060; the gap is motor vehicle and other classes plus collection timing, and it does not move any percentage below</t>
        </is>
      </c>
    </row>
    <row r="98">
      <c r="A98" s="17" t="inlineStr">
        <is>
          <t>Assessment growth</t>
        </is>
      </c>
      <c r="B98" s="17" t="inlineStr">
        <is>
          <t>Compensating rate</t>
        </is>
      </c>
      <c r="C98" s="17" t="inlineStr">
        <is>
          <t>4 percent option</t>
        </is>
      </c>
      <c r="D98" s="17" t="inlineStr">
        <is>
          <t>Rate raised 4 percent</t>
        </is>
      </c>
      <c r="E98" s="17" t="inlineStr">
        <is>
          <t>Revenue at 4 percent option</t>
        </is>
      </c>
      <c r="F98" s="17" t="inlineStr">
        <is>
          <t>Revenue at rate x 1.04</t>
        </is>
      </c>
      <c r="G98" s="17" t="inlineStr">
        <is>
          <t>Above the ceiling, recallable</t>
        </is>
      </c>
    </row>
    <row r="99">
      <c r="A99" s="36" t="n">
        <v>0</v>
      </c>
      <c r="B99" s="30">
        <f>$B$95/(1+A99)</f>
        <v/>
      </c>
      <c r="C99" s="30">
        <f>B99*1.04</f>
        <v/>
      </c>
      <c r="D99" s="30">
        <f>$B$95*1.04</f>
        <v/>
      </c>
      <c r="E99" s="9">
        <f>$B$94*(1+A99)*C99/100/100</f>
        <v/>
      </c>
      <c r="F99" s="9">
        <f>$B$94*(1+A99)*D99/100/100</f>
        <v/>
      </c>
      <c r="G99" s="23">
        <f>F99-E99</f>
        <v/>
      </c>
    </row>
    <row r="100">
      <c r="A100" s="36" t="n">
        <v>0.03</v>
      </c>
      <c r="B100" s="30">
        <f>$B$95/(1+A100)</f>
        <v/>
      </c>
      <c r="C100" s="30">
        <f>B100*1.04</f>
        <v/>
      </c>
      <c r="D100" s="30">
        <f>$B$95*1.04</f>
        <v/>
      </c>
      <c r="E100" s="9">
        <f>$B$94*(1+A100)*C100/100/100</f>
        <v/>
      </c>
      <c r="F100" s="9">
        <f>$B$94*(1+A100)*D100/100/100</f>
        <v/>
      </c>
      <c r="G100" s="23">
        <f>F100-E100</f>
        <v/>
      </c>
    </row>
    <row r="101">
      <c r="A101" s="36" t="n">
        <v>0.05</v>
      </c>
      <c r="B101" s="30">
        <f>$B$95/(1+A101)</f>
        <v/>
      </c>
      <c r="C101" s="30">
        <f>B101*1.04</f>
        <v/>
      </c>
      <c r="D101" s="30">
        <f>$B$95*1.04</f>
        <v/>
      </c>
      <c r="E101" s="9">
        <f>$B$94*(1+A101)*C101/100/100</f>
        <v/>
      </c>
      <c r="F101" s="9">
        <f>$B$94*(1+A101)*D101/100/100</f>
        <v/>
      </c>
      <c r="G101" s="23">
        <f>F101-E101</f>
        <v/>
      </c>
    </row>
    <row r="102">
      <c r="A102" s="36" t="n">
        <v>0.07000000000000001</v>
      </c>
      <c r="B102" s="30">
        <f>$B$95/(1+A102)</f>
        <v/>
      </c>
      <c r="C102" s="30">
        <f>B102*1.04</f>
        <v/>
      </c>
      <c r="D102" s="30">
        <f>$B$95*1.04</f>
        <v/>
      </c>
      <c r="E102" s="9">
        <f>$B$94*(1+A102)*C102/100/100</f>
        <v/>
      </c>
      <c r="F102" s="9">
        <f>$B$94*(1+A102)*D102/100/100</f>
        <v/>
      </c>
      <c r="G102" s="23">
        <f>F102-E102</f>
        <v/>
      </c>
    </row>
    <row r="104">
      <c r="A104" s="21" t="inlineStr">
        <is>
          <t>Read row 101, five percent growth: the largest rate the board can levy with no recall exposure is 40.61 cents, BELOW the 41.0 it levies now, and it still collects four percent more revenue. Column E is flat at every growth rate because the four percent is a revenue limit; column D is flat because it is a rate rule. The naive rate overshoots the protected rate by exactly the assessment growth rate, so the two coincide only at zero growth. New-construction revenue sits outside the cap and is additional; any rate above the compensating rate requires a public hearing; the two facilities nickels are separate from this General Fund table. KRS 132.010, KRS 132.017, KRS 160.470, read as a layperson, not as legal advice.</t>
        </is>
      </c>
    </row>
    <row r="106">
      <c r="A106" s="21" t="inlineStr">
        <is>
          <t>What this settles, and what it does not: a flat or falling levied rate is not evidence either way about whether the four percent option was taken, because taking it in a county with rising assessments produces a falling rate. KDE's levied-type file shows Bourbon took the option in five of the last twelve years against seven, eight and nine for the neighbors that rose. The document that closes the question is the certified compensating rate against the rate actually levied, each year, and it is on the records list.</t>
        </is>
      </c>
    </row>
    <row r="108">
      <c r="A108" s="4" t="inlineStr">
        <is>
          <t>THE 2023 RATE MOVEMENT: 3.2 CENTS NET, 5.7 CENTS RESTRICTED IN</t>
        </is>
      </c>
    </row>
    <row r="109">
      <c r="A109" s="3" t="inlineStr">
        <is>
          <t>Total levied rate, tax year 2022</t>
        </is>
      </c>
      <c r="B109" s="29" t="n">
        <v>49.2</v>
      </c>
    </row>
    <row r="110">
      <c r="A110" s="3" t="inlineStr">
        <is>
          <t>Total levied rate, tax year 2023 (held at 52.4 for three years since)</t>
        </is>
      </c>
      <c r="B110" s="29" t="n">
        <v>52.4</v>
      </c>
    </row>
    <row r="111">
      <c r="A111" s="3" t="inlineStr">
        <is>
          <t>Net change</t>
        </is>
      </c>
      <c r="B111" s="35">
        <f>B110-B109</f>
        <v/>
      </c>
    </row>
    <row r="112">
      <c r="A112" s="3" t="inlineStr">
        <is>
          <t>Recallable facilities nickel levied 8/17/2023 (KDE levied-rates file, current year)</t>
        </is>
      </c>
      <c r="B112" s="29" t="n">
        <v>5.7</v>
      </c>
    </row>
    <row r="113">
      <c r="A113" s="3" t="inlineStr">
        <is>
          <t>Implied change in the rest of the rate</t>
        </is>
      </c>
      <c r="B113" s="37">
        <f>B111-B112</f>
        <v/>
      </c>
    </row>
    <row r="114">
      <c r="A114" s="3" t="inlineStr">
        <is>
          <t>Implied annual change in unrestricted revenue</t>
        </is>
      </c>
      <c r="B114" s="23">
        <f>B113*B72</f>
        <v/>
      </c>
      <c r="G114" s="21" t="inlineStr">
        <is>
          <t>About -2.5 cents, roughly -$477,000 a year. INFERENCE, NOT A DOCUMENT: KDE does not publish the year-by-year rate-type split, and a facilities nickel is an equivalent rate restated annually against the whole property base, so it drifts. The certified split by year is requested in Appendix B. What is not in doubt: the levy that rose in 2023 was restricted building money that cannot lawfully pay a teacher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9" t="n">
        <v>56.5</v>
      </c>
      <c r="C15" s="29" t="n">
        <v>63.9</v>
      </c>
      <c r="D15" s="29" t="n">
        <v>68.59999999999999</v>
      </c>
      <c r="E15" s="29" t="n">
        <v>87.90000000000001</v>
      </c>
      <c r="F15" s="29" t="n">
        <v>85.8</v>
      </c>
      <c r="G15" s="29" t="n">
        <v>72.5</v>
      </c>
      <c r="H15" s="29" t="n">
        <v>67.59999999999999</v>
      </c>
      <c r="I15" s="29" t="n">
        <v>56.6</v>
      </c>
      <c r="J15" s="29" t="n">
        <v>56.9</v>
      </c>
      <c r="K15" s="29" t="n">
        <v>48.7</v>
      </c>
      <c r="L15" s="29" t="n">
        <v>49.3</v>
      </c>
      <c r="M15" s="29" t="n">
        <v>40</v>
      </c>
      <c r="N15" s="29" t="n">
        <v>50.4</v>
      </c>
      <c r="P15" s="29" t="n">
        <v>47.7</v>
      </c>
      <c r="Q15" s="29" t="n">
        <v>32.1</v>
      </c>
      <c r="R15" s="29" t="n">
        <v>54.1</v>
      </c>
      <c r="S15" s="29" t="n">
        <v>58.2</v>
      </c>
    </row>
    <row r="16">
      <c r="A16" s="3" t="inlineStr">
        <is>
          <t>Bourbon Central (Bourbon Co.)</t>
        </is>
      </c>
      <c r="B16" s="29" t="n">
        <v>77.5</v>
      </c>
      <c r="C16" s="29" t="n">
        <v>81.90000000000001</v>
      </c>
      <c r="D16" s="29" t="n">
        <v>72.59999999999999</v>
      </c>
      <c r="E16" s="29" t="n">
        <v>69.59999999999999</v>
      </c>
      <c r="F16" s="29" t="n">
        <v>63</v>
      </c>
      <c r="G16" s="29" t="n">
        <v>74.7</v>
      </c>
      <c r="H16" s="29" t="n">
        <v>67.59999999999999</v>
      </c>
      <c r="I16" s="29" t="n">
        <v>51.8</v>
      </c>
      <c r="J16" s="29" t="n">
        <v>52.1</v>
      </c>
      <c r="K16" s="29" t="n">
        <v>30</v>
      </c>
      <c r="L16" s="29" t="n">
        <v>34</v>
      </c>
      <c r="M16" s="29" t="n">
        <v>32.8</v>
      </c>
      <c r="N16" s="29" t="n">
        <v>39.9</v>
      </c>
      <c r="O16" s="29" t="n">
        <v>20</v>
      </c>
      <c r="P16" s="29" t="n">
        <v>29.9</v>
      </c>
      <c r="Q16" s="29" t="n">
        <v>29</v>
      </c>
      <c r="R16" s="29" t="n">
        <v>23.8</v>
      </c>
      <c r="S16" s="29" t="n">
        <v>26.5</v>
      </c>
    </row>
    <row r="17">
      <c r="A17" s="3" t="inlineStr">
        <is>
          <t>Cane Ridge (Bourbon Co.)</t>
        </is>
      </c>
      <c r="B17" s="29" t="n">
        <v>35.2</v>
      </c>
      <c r="C17" s="29" t="n">
        <v>50.9</v>
      </c>
      <c r="D17" s="29" t="n">
        <v>56.2</v>
      </c>
      <c r="E17" s="29" t="n">
        <v>65.5</v>
      </c>
      <c r="F17" s="29" t="n">
        <v>34.5</v>
      </c>
      <c r="G17" s="29" t="n">
        <v>34</v>
      </c>
      <c r="H17" s="29" t="n">
        <v>49.6</v>
      </c>
      <c r="I17" s="29" t="n">
        <v>51</v>
      </c>
      <c r="J17" s="29" t="n">
        <v>51.1</v>
      </c>
      <c r="K17" s="29" t="n">
        <v>57.5</v>
      </c>
      <c r="L17" s="29" t="n">
        <v>50.4</v>
      </c>
      <c r="M17" s="29" t="n">
        <v>41.4</v>
      </c>
      <c r="N17" s="29" t="n">
        <v>38.8</v>
      </c>
      <c r="O17" s="29" t="n">
        <v>23.8</v>
      </c>
      <c r="P17" s="29" t="n">
        <v>38.7</v>
      </c>
      <c r="Q17" s="29" t="n">
        <v>34.6</v>
      </c>
      <c r="R17" s="29" t="n">
        <v>35.8</v>
      </c>
      <c r="S17" s="29" t="n">
        <v>19.3</v>
      </c>
    </row>
    <row r="18">
      <c r="A18" s="3" t="inlineStr">
        <is>
          <t>Paris Elementary (Paris Indep.)</t>
        </is>
      </c>
      <c r="R18" s="29" t="n">
        <v>16.8</v>
      </c>
      <c r="S18" s="29" t="n">
        <v>12.2</v>
      </c>
    </row>
    <row r="19">
      <c r="A19" s="3" t="inlineStr">
        <is>
          <t>Shearer (Clark Co.)</t>
        </is>
      </c>
      <c r="R19" s="29" t="n">
        <v>30.7</v>
      </c>
      <c r="S19" s="29" t="n">
        <v>42.3</v>
      </c>
    </row>
    <row r="20">
      <c r="A20" s="3" t="inlineStr">
        <is>
          <t>Justice (Clark Co.)</t>
        </is>
      </c>
      <c r="R20" s="29" t="n">
        <v>43.2</v>
      </c>
      <c r="S20" s="29" t="n">
        <v>39.3</v>
      </c>
    </row>
    <row r="21">
      <c r="A21" s="3" t="inlineStr">
        <is>
          <t>Strode Station (Clark Co.)</t>
        </is>
      </c>
      <c r="R21" s="29" t="n">
        <v>43.2</v>
      </c>
      <c r="S21" s="29" t="n">
        <v>34.2</v>
      </c>
    </row>
    <row r="22">
      <c r="A22" s="3" t="inlineStr">
        <is>
          <t>Conkwright (Clark Co.)</t>
        </is>
      </c>
      <c r="R22" s="29" t="n">
        <v>15.6</v>
      </c>
      <c r="S22" s="29" t="n">
        <v>17.5</v>
      </c>
    </row>
    <row r="23">
      <c r="A23" s="3" t="inlineStr">
        <is>
          <t>Northview (Montgomery Co.)</t>
        </is>
      </c>
      <c r="R23" s="29" t="n">
        <v>67.40000000000001</v>
      </c>
      <c r="S23" s="29" t="n">
        <v>68.90000000000001</v>
      </c>
    </row>
    <row r="24">
      <c r="A24" s="3" t="inlineStr">
        <is>
          <t>Mapleton (Montgomery Co.)</t>
        </is>
      </c>
      <c r="R24" s="29" t="n">
        <v>65.90000000000001</v>
      </c>
      <c r="S24" s="29" t="n">
        <v>65.09999999999999</v>
      </c>
    </row>
    <row r="25">
      <c r="A25" s="3" t="inlineStr">
        <is>
          <t>Nicholas County Elementary (Nicholas Co.)</t>
        </is>
      </c>
      <c r="R25" s="29"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8"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9" t="n">
        <v>51.9</v>
      </c>
      <c r="C45" s="29" t="n">
        <v>59.7</v>
      </c>
      <c r="D45" s="29" t="n">
        <v>63.2</v>
      </c>
      <c r="E45" s="29" t="n">
        <v>53.2</v>
      </c>
      <c r="F45" s="29" t="n">
        <v>56.1</v>
      </c>
      <c r="G45" s="29" t="n">
        <v>55.6</v>
      </c>
      <c r="H45" s="29" t="n">
        <v>42.3</v>
      </c>
      <c r="I45" s="29" t="n">
        <v>48.4</v>
      </c>
      <c r="J45" s="29" t="n">
        <v>21.4</v>
      </c>
      <c r="K45" s="29" t="n">
        <v>32</v>
      </c>
      <c r="L45" s="29" t="n">
        <v>43</v>
      </c>
      <c r="M45" s="29" t="n">
        <v>45</v>
      </c>
      <c r="N45" s="29" t="n">
        <v>41</v>
      </c>
    </row>
    <row r="46">
      <c r="A46" s="3" t="inlineStr">
        <is>
          <t>Reading: Bourbon Central</t>
        </is>
      </c>
      <c r="B46" s="29" t="n">
        <v>62.1</v>
      </c>
      <c r="C46" s="29" t="n">
        <v>56.6</v>
      </c>
      <c r="D46" s="29" t="n">
        <v>61.2</v>
      </c>
      <c r="E46" s="29" t="n">
        <v>55.7</v>
      </c>
      <c r="F46" s="29" t="n">
        <v>47.9</v>
      </c>
      <c r="G46" s="29" t="n">
        <v>47.9</v>
      </c>
      <c r="H46" s="29" t="n">
        <v>49.3</v>
      </c>
      <c r="I46" s="29" t="n">
        <v>49.1</v>
      </c>
      <c r="J46" s="29" t="n">
        <v>27.1</v>
      </c>
      <c r="K46" s="29" t="n">
        <v>43</v>
      </c>
      <c r="L46" s="29" t="n">
        <v>37</v>
      </c>
      <c r="M46" s="29" t="n">
        <v>36</v>
      </c>
      <c r="N46" s="29" t="n">
        <v>38</v>
      </c>
    </row>
    <row r="47">
      <c r="A47" s="3" t="inlineStr">
        <is>
          <t>Reading: Cane Ridge</t>
        </is>
      </c>
      <c r="B47" s="29" t="n">
        <v>42.9</v>
      </c>
      <c r="C47" s="29" t="n">
        <v>47.2</v>
      </c>
      <c r="D47" s="29" t="n">
        <v>54.5</v>
      </c>
      <c r="E47" s="29" t="n">
        <v>55.3</v>
      </c>
      <c r="F47" s="29" t="n">
        <v>59.3</v>
      </c>
      <c r="G47" s="29" t="n">
        <v>57.1</v>
      </c>
      <c r="H47" s="29" t="n">
        <v>52</v>
      </c>
      <c r="I47" s="29" t="n">
        <v>49.6</v>
      </c>
      <c r="J47" s="29" t="n">
        <v>26.5</v>
      </c>
      <c r="K47" s="29" t="n">
        <v>44</v>
      </c>
      <c r="L47" s="29" t="n">
        <v>40</v>
      </c>
      <c r="M47" s="29" t="n">
        <v>40</v>
      </c>
      <c r="N47" s="29" t="n">
        <v>37</v>
      </c>
    </row>
    <row r="48">
      <c r="A48" s="3" t="inlineStr">
        <is>
          <t>Reading: Paris Elementary</t>
        </is>
      </c>
      <c r="B48" s="29" t="n">
        <v>31</v>
      </c>
      <c r="C48" s="29" t="n">
        <v>34.1</v>
      </c>
      <c r="D48" s="29" t="n">
        <v>42.9</v>
      </c>
      <c r="E48" s="29" t="n">
        <v>38.9</v>
      </c>
      <c r="F48" s="29" t="n">
        <v>41.2</v>
      </c>
      <c r="G48" s="29" t="n">
        <v>34.3</v>
      </c>
      <c r="H48" s="29" t="n">
        <v>34.4</v>
      </c>
      <c r="I48" s="29" t="n">
        <v>35.3</v>
      </c>
      <c r="J48" s="29" t="n">
        <v>25</v>
      </c>
      <c r="K48" s="29" t="n">
        <v>28</v>
      </c>
      <c r="L48" s="29" t="n">
        <v>25</v>
      </c>
      <c r="M48" s="29" t="n">
        <v>30</v>
      </c>
      <c r="N48" s="29" t="n">
        <v>25</v>
      </c>
    </row>
    <row r="49">
      <c r="A49" s="3" t="inlineStr">
        <is>
          <t>Mathematics: North Middletown</t>
        </is>
      </c>
      <c r="B49" s="29" t="n">
        <v>53.2</v>
      </c>
      <c r="C49" s="29" t="n">
        <v>49.4</v>
      </c>
      <c r="D49" s="29" t="n">
        <v>55.3</v>
      </c>
      <c r="E49" s="29" t="n">
        <v>59.5</v>
      </c>
      <c r="F49" s="29" t="n">
        <v>62.1</v>
      </c>
      <c r="G49" s="29" t="n">
        <v>50.8</v>
      </c>
      <c r="H49" s="29" t="n">
        <v>47.9</v>
      </c>
      <c r="I49" s="29" t="n">
        <v>48.4</v>
      </c>
      <c r="J49" s="29" t="n">
        <v>17.9</v>
      </c>
      <c r="K49" s="29" t="n">
        <v>31</v>
      </c>
      <c r="L49" s="29" t="n">
        <v>30</v>
      </c>
      <c r="M49" s="29" t="n">
        <v>45</v>
      </c>
      <c r="N49" s="29" t="n">
        <v>31</v>
      </c>
    </row>
    <row r="50">
      <c r="A50" s="3" t="inlineStr">
        <is>
          <t>Mathematics: Bourbon Central</t>
        </is>
      </c>
      <c r="B50" s="29" t="n">
        <v>47.1</v>
      </c>
      <c r="C50" s="29" t="n">
        <v>47.4</v>
      </c>
      <c r="D50" s="29" t="n">
        <v>43</v>
      </c>
      <c r="E50" s="29" t="n">
        <v>43.6</v>
      </c>
      <c r="F50" s="29" t="n">
        <v>40</v>
      </c>
      <c r="G50" s="29" t="n">
        <v>43.5</v>
      </c>
      <c r="H50" s="29" t="n">
        <v>41.8</v>
      </c>
      <c r="I50" s="29" t="n">
        <v>45.1</v>
      </c>
      <c r="J50" s="29" t="n">
        <v>31.7</v>
      </c>
      <c r="K50" s="29" t="n">
        <v>27</v>
      </c>
      <c r="L50" s="29" t="n">
        <v>28</v>
      </c>
      <c r="M50" s="29" t="n">
        <v>23</v>
      </c>
      <c r="N50" s="29" t="n">
        <v>28</v>
      </c>
    </row>
    <row r="51">
      <c r="A51" s="3" t="inlineStr">
        <is>
          <t>Mathematics: Cane Ridge</t>
        </is>
      </c>
      <c r="B51" s="29" t="n">
        <v>33.3</v>
      </c>
      <c r="C51" s="29" t="n">
        <v>37.7</v>
      </c>
      <c r="D51" s="29" t="n">
        <v>43.1</v>
      </c>
      <c r="E51" s="29" t="n">
        <v>46.1</v>
      </c>
      <c r="F51" s="29" t="n">
        <v>54.4</v>
      </c>
      <c r="G51" s="29" t="n">
        <v>45.9</v>
      </c>
      <c r="H51" s="29" t="n">
        <v>41.5</v>
      </c>
      <c r="I51" s="29" t="n">
        <v>39</v>
      </c>
      <c r="J51" s="29" t="n">
        <v>25.2</v>
      </c>
      <c r="K51" s="29" t="n">
        <v>33</v>
      </c>
      <c r="L51" s="29" t="n">
        <v>35</v>
      </c>
      <c r="M51" s="29" t="n">
        <v>30</v>
      </c>
      <c r="N51" s="29" t="n">
        <v>27</v>
      </c>
    </row>
    <row r="52">
      <c r="A52" s="3" t="inlineStr">
        <is>
          <t>Mathematics: Paris Elementary</t>
        </is>
      </c>
      <c r="B52" s="29" t="n">
        <v>29.7</v>
      </c>
      <c r="C52" s="29" t="n">
        <v>25</v>
      </c>
      <c r="D52" s="29" t="n">
        <v>26.8</v>
      </c>
      <c r="E52" s="29" t="n">
        <v>22.9</v>
      </c>
      <c r="F52" s="29" t="n">
        <v>41.9</v>
      </c>
      <c r="G52" s="29" t="n">
        <v>28.7</v>
      </c>
      <c r="H52" s="29" t="n">
        <v>30</v>
      </c>
      <c r="I52" s="29" t="n">
        <v>32</v>
      </c>
      <c r="J52" s="29" t="n">
        <v>15.3</v>
      </c>
      <c r="K52" s="29" t="n">
        <v>23</v>
      </c>
      <c r="L52" s="29" t="n">
        <v>32</v>
      </c>
      <c r="M52" s="29" t="n">
        <v>27</v>
      </c>
      <c r="N52" s="29"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9" t="n">
        <v>62.6</v>
      </c>
      <c r="C56" s="29" t="n">
        <v>68.8</v>
      </c>
      <c r="D56" s="29" t="n">
        <v>71.40000000000001</v>
      </c>
      <c r="E56" s="29" t="n">
        <v>72.09999999999999</v>
      </c>
      <c r="F56" s="29" t="n">
        <v>79.09999999999999</v>
      </c>
      <c r="K56" s="29" t="n">
        <v>51.9</v>
      </c>
      <c r="L56" s="29" t="n">
        <v>62.2</v>
      </c>
      <c r="M56" s="29" t="n">
        <v>74.5</v>
      </c>
      <c r="N56" s="29" t="n">
        <v>54</v>
      </c>
    </row>
    <row r="57">
      <c r="A57" s="3" t="inlineStr">
        <is>
          <t>Bourbon Central</t>
        </is>
      </c>
      <c r="B57" s="29" t="n">
        <v>63.2</v>
      </c>
      <c r="C57" s="29" t="n">
        <v>63</v>
      </c>
      <c r="D57" s="29" t="n">
        <v>69.8</v>
      </c>
      <c r="E57" s="29" t="n">
        <v>67.8</v>
      </c>
      <c r="F57" s="29" t="n">
        <v>56.8</v>
      </c>
      <c r="K57" s="29" t="n">
        <v>52.8</v>
      </c>
      <c r="L57" s="29" t="n">
        <v>56.7</v>
      </c>
      <c r="M57" s="29" t="n">
        <v>50.3</v>
      </c>
      <c r="N57" s="29" t="n">
        <v>55.4</v>
      </c>
    </row>
    <row r="58">
      <c r="A58" s="3" t="inlineStr">
        <is>
          <t>Cane Ridge</t>
        </is>
      </c>
      <c r="B58" s="29" t="n">
        <v>53.3</v>
      </c>
      <c r="C58" s="29" t="n">
        <v>58.9</v>
      </c>
      <c r="D58" s="29" t="n">
        <v>69.2</v>
      </c>
      <c r="E58" s="29" t="n">
        <v>68.5</v>
      </c>
      <c r="F58" s="29" t="n">
        <v>65.5</v>
      </c>
      <c r="K58" s="29" t="n">
        <v>54.3</v>
      </c>
      <c r="L58" s="29" t="n">
        <v>51.8</v>
      </c>
      <c r="M58" s="29" t="n">
        <v>60.7</v>
      </c>
      <c r="N58" s="29" t="n">
        <v>47.8</v>
      </c>
    </row>
    <row r="59">
      <c r="A59" s="3" t="inlineStr">
        <is>
          <t>Paris Elementary</t>
        </is>
      </c>
      <c r="B59" s="29" t="n">
        <v>48</v>
      </c>
      <c r="C59" s="29" t="n">
        <v>49.9</v>
      </c>
      <c r="D59" s="29" t="n">
        <v>59.4</v>
      </c>
      <c r="E59" s="29" t="n">
        <v>54.8</v>
      </c>
      <c r="F59" s="29" t="n">
        <v>69.59999999999999</v>
      </c>
      <c r="K59" s="29" t="n">
        <v>46.1</v>
      </c>
      <c r="L59" s="29" t="n">
        <v>45.9</v>
      </c>
      <c r="M59" s="29" t="n">
        <v>40.7</v>
      </c>
      <c r="N59" s="29"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6">
        <f>B13-B14</f>
        <v/>
      </c>
    </row>
    <row r="16">
      <c r="A16" s="3" t="inlineStr">
        <is>
          <t>NMES students needing seats on closure</t>
        </is>
      </c>
      <c r="B16" s="25">
        <f>Assumptions!B11</f>
        <v/>
      </c>
    </row>
    <row r="17">
      <c r="A17" s="3" t="inlineStr">
        <is>
          <t>Shortfall if closure proceeds today</t>
        </is>
      </c>
      <c r="B17" s="26">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26">
        <f>D30+D31</f>
        <v/>
      </c>
    </row>
    <row r="34">
      <c r="A34" s="3" t="inlineStr">
        <is>
          <t>NMES fill rate even at the draft's own 154 rating</t>
        </is>
      </c>
      <c r="B34" s="39">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26">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17" t="inlineStr">
        <is>
          <t>School</t>
        </is>
      </c>
      <c r="B56" s="17" t="inlineStr">
        <is>
          <t>2017 enr</t>
        </is>
      </c>
      <c r="C56" s="17"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17" t="inlineStr">
        <is>
          <t>School</t>
        </is>
      </c>
      <c r="B66" s="17" t="inlineStr">
        <is>
          <t>Oct 2023 report</t>
        </is>
      </c>
      <c r="C66" s="17" t="inlineStr">
        <is>
          <t>Oct 2025 report</t>
        </is>
      </c>
      <c r="D66" s="17" t="inlineStr">
        <is>
          <t>Jul 2026 report</t>
        </is>
      </c>
      <c r="E66" s="17" t="inlineStr">
        <is>
          <t>4-yr needs (Jul 2026)</t>
        </is>
      </c>
      <c r="F66" s="17" t="inlineStr">
        <is>
          <t>Replacement value (Jul 2026)</t>
        </is>
      </c>
    </row>
    <row r="67">
      <c r="A67" s="3" t="inlineStr">
        <is>
          <t>Bourbon Central Elementary (1988)</t>
        </is>
      </c>
      <c r="B67" s="40" t="n">
        <v>0.887637</v>
      </c>
      <c r="C67" s="40" t="n">
        <v>0.819273</v>
      </c>
      <c r="D67" s="40" t="n">
        <v>0.823017</v>
      </c>
      <c r="E67" s="8" t="n">
        <v>4006243.38</v>
      </c>
      <c r="F67" s="8" t="n">
        <v>22636266.8</v>
      </c>
    </row>
    <row r="68">
      <c r="A68" s="3" t="inlineStr">
        <is>
          <t>Cane Ridge Elementary (1992)</t>
        </is>
      </c>
      <c r="B68" s="40" t="n">
        <v>0.8120579999999999</v>
      </c>
      <c r="C68" s="40" t="n">
        <v>0.811765</v>
      </c>
      <c r="D68" s="40" t="n">
        <v>0.728249</v>
      </c>
      <c r="E68" s="8" t="n">
        <v>4796308</v>
      </c>
      <c r="F68" s="8" t="n">
        <v>17649638.79</v>
      </c>
    </row>
    <row r="69">
      <c r="A69" s="3" t="inlineStr">
        <is>
          <t>North Middletown Elementary (1948/64)</t>
        </is>
      </c>
      <c r="B69" s="40" t="n">
        <v>0.694064</v>
      </c>
      <c r="C69" s="40" t="n">
        <v>0.702133</v>
      </c>
      <c r="D69" s="40" t="n">
        <v>0.773295</v>
      </c>
      <c r="E69" s="8" t="n">
        <v>3099147.93</v>
      </c>
      <c r="F69" s="8" t="n">
        <v>13670417.6</v>
      </c>
    </row>
    <row r="70">
      <c r="A70" s="3" t="inlineStr">
        <is>
          <t>Bourbon County Middle School (1948)</t>
        </is>
      </c>
      <c r="B70" s="40" t="n">
        <v>0.726249</v>
      </c>
      <c r="C70" s="40" t="n">
        <v>0.727501</v>
      </c>
      <c r="D70" s="40" t="n">
        <v>0.596145</v>
      </c>
      <c r="E70" s="8" t="n">
        <v>12167086.72</v>
      </c>
      <c r="F70" s="8" t="n">
        <v>30127350</v>
      </c>
    </row>
    <row r="71">
      <c r="A71" s="3" t="inlineStr">
        <is>
          <t>Bourbon County High School (1968)</t>
        </is>
      </c>
      <c r="B71" s="40" t="n">
        <v>0.809819</v>
      </c>
      <c r="C71" s="40" t="n">
        <v>0.802057</v>
      </c>
      <c r="D71" s="40" t="n">
        <v>0.792529</v>
      </c>
      <c r="E71" s="8" t="n">
        <v>10251532.33</v>
      </c>
      <c r="F71" s="8" t="n">
        <v>49411909.14</v>
      </c>
    </row>
    <row r="72">
      <c r="A72" s="3" t="inlineStr">
        <is>
          <t>Check: Condition Index = 1 - (4-year renewal needs / replacement value), NMES</t>
        </is>
      </c>
      <c r="B72" s="41">
        <f>1-E69/F69</f>
        <v/>
      </c>
    </row>
    <row r="73">
      <c r="A73" s="3" t="inlineStr">
        <is>
          <t>NMES change between inspection cycles (2020-21 to April 2026)</t>
        </is>
      </c>
      <c r="B73" s="41">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9">
        <f>84/163</f>
        <v/>
      </c>
    </row>
    <row r="11">
      <c r="A11" s="3" t="inlineStr">
        <is>
          <t>Closures most like this plan (single small elementary, nothing built): count / median saving</t>
        </is>
      </c>
      <c r="B11" s="10" t="n">
        <v>37</v>
      </c>
      <c r="C11" s="10" t="n">
        <v>0</v>
      </c>
    </row>
    <row r="13">
      <c r="A13" s="4" t="inlineStr">
        <is>
          <t>THE DOLLAR TEST: BUDGET GAP VS STATE TREND, CREDITED ENTIRELY TO THE CLOSURE (A GENEROUS CEILING), PER DISPLACED STUDENT</t>
        </is>
      </c>
    </row>
    <row r="14">
      <c r="A14" s="17" t="inlineStr">
        <is>
          <t>Case</t>
        </is>
      </c>
      <c r="B14" s="17" t="inlineStr">
        <is>
          <t>Closed</t>
        </is>
      </c>
      <c r="C14" s="17" t="inlineStr">
        <is>
          <t>Students displaced</t>
        </is>
      </c>
      <c r="D14" s="17" t="inlineStr">
        <is>
          <t>Spending, year before</t>
        </is>
      </c>
      <c r="E14" s="17" t="inlineStr">
        <is>
          <t>Spending, 3 yrs after</t>
        </is>
      </c>
      <c r="F14" s="17" t="inlineStr">
        <is>
          <t>State growth</t>
        </is>
      </c>
      <c r="G14" s="17" t="inlineStr">
        <is>
          <t>Counterfactual</t>
        </is>
      </c>
      <c r="H14" s="17" t="inlineStr">
        <is>
          <t>Gap per year</t>
        </is>
      </c>
      <c r="I14" s="17" t="inlineStr">
        <is>
          <t>Gap per student</t>
        </is>
      </c>
      <c r="J14" s="17" t="inlineStr">
        <is>
          <t>Note</t>
        </is>
      </c>
    </row>
    <row r="15">
      <c r="A15" s="3" t="inlineStr">
        <is>
          <t>Perry County</t>
        </is>
      </c>
      <c r="B15" s="10" t="n">
        <v>2017</v>
      </c>
      <c r="C15" s="10" t="n">
        <v>825</v>
      </c>
      <c r="D15" s="8" t="n">
        <v>42356000</v>
      </c>
      <c r="E15" s="8" t="n">
        <v>44953000</v>
      </c>
      <c r="F15" s="13" t="n">
        <v>0.1323</v>
      </c>
      <c r="G15" s="9">
        <f>D15*(1+F15)</f>
        <v/>
      </c>
      <c r="H15" s="9">
        <f>G15-E15</f>
        <v/>
      </c>
      <c r="I15" s="23">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23">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23">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23">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23">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23">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23">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23">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23">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23">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23">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23">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23">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23">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23">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23">
        <f>H30/C30</f>
        <v/>
      </c>
      <c r="J30" s="21" t="inlineStr">
        <is>
          <t>3 rural elementaries; built NEW Adair County Elementary the same year; pre-closure spending spike reverting; gap is 88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23">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128 students displaced)</t>
        </is>
      </c>
      <c r="B34" s="23">
        <f>800000/Assumptions!B11</f>
        <v/>
      </c>
      <c r="C34" s="23">
        <f>1000000/Assumptions!B11</f>
        <v/>
      </c>
    </row>
    <row r="35">
      <c r="A35" s="3" t="inlineStr">
        <is>
          <t>This report's own model, per displaced student: median / central / best case</t>
        </is>
      </c>
      <c r="B35" s="9">
        <f>-20007/Assumptions!B11</f>
        <v/>
      </c>
      <c r="C35" s="9">
        <f>Closure_Model!B47/Assumptions!B11</f>
        <v/>
      </c>
      <c r="D35" s="9">
        <f>Closure_Model!B49/Assumptions!B11</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36" t="n">
        <v>0.4</v>
      </c>
      <c r="C41" s="36"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BRACKET CHECK (v3.9): the record's plausible median vs this model's independent bottom-up median per displaced student. These bracket rather than coincide and measure different things: the record credits a district's whole budget change to its closure (an upper bound by construction), the model prices only the levers a closure moves. Before the v3.9 fixed-cost rebuild the model read $713 and the two nearly coincided. Both remain far below the plan's $6,250-$7,813 requirement.</t>
        </is>
      </c>
      <c r="B44" s="8" t="n">
        <v>818</v>
      </c>
      <c r="C44" s="23">
        <f>Closure_Model!B47/Assumptions!B11</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29" t="n">
        <v>-2</v>
      </c>
      <c r="C49" s="29"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6"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3"/>
  <sheetViews>
    <sheetView showGridLines="1"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52" customWidth="1" min="7" max="7"/>
  </cols>
  <sheetData>
    <row r="1">
      <c r="A1" s="1" t="inlineStr">
        <is>
          <t>School-Level Costs Across Every Reporting System, and Every Breakeven Construction</t>
        </is>
      </c>
    </row>
    <row r="2">
      <c r="A2" s="2" t="inlineStr">
        <is>
          <t>Backs the two v3.8 site cards and the Section 4 additions. Three reporting systems with different definitions; compare within a system and a year, never across.</t>
        </is>
      </c>
    </row>
    <row r="4">
      <c r="A4" s="4" t="inlineStr">
        <is>
          <t>DISTRICT REVENUE BY SOURCE, PER MEMBER (KDE funding files; archived build/bourbon_revenue_by_source_2020_2024.csv)</t>
        </is>
      </c>
    </row>
    <row r="5">
      <c r="A5" s="17" t="inlineStr">
        <is>
          <t>Year</t>
        </is>
      </c>
      <c r="B5" s="17" t="inlineStr">
        <is>
          <t>Members</t>
        </is>
      </c>
      <c r="C5" s="17" t="inlineStr">
        <is>
          <t>Local</t>
        </is>
      </c>
      <c r="D5" s="17" t="inlineStr">
        <is>
          <t>State</t>
        </is>
      </c>
      <c r="E5" s="17" t="inlineStr">
        <is>
          <t>Federal</t>
        </is>
      </c>
      <c r="F5" s="17" t="inlineStr">
        <is>
          <t>Total/member</t>
        </is>
      </c>
    </row>
    <row r="6">
      <c r="A6" s="3" t="inlineStr">
        <is>
          <t>2019-20</t>
        </is>
      </c>
      <c r="B6" s="10" t="n">
        <v>2620</v>
      </c>
      <c r="C6" s="8" t="n">
        <v>9427594</v>
      </c>
      <c r="D6" s="8" t="n">
        <v>18087210</v>
      </c>
      <c r="E6" s="8" t="n">
        <v>5573373</v>
      </c>
      <c r="F6" s="9">
        <f>(C6+D6+E6)/B6</f>
        <v/>
      </c>
      <c r="G6" s="21" t="inlineStr">
        <is>
          <t>State column includes on-behalf pension and insurance payments that never pass through the district's accounts; net SEEK cash is $7.8M-$9.4M of it. Federal 2020-21 to 2022-23 carries ESSER.</t>
        </is>
      </c>
    </row>
    <row r="7">
      <c r="A7" s="3" t="inlineStr">
        <is>
          <t>2020-21</t>
        </is>
      </c>
      <c r="B7" s="10" t="n">
        <v>2561</v>
      </c>
      <c r="C7" s="8" t="n">
        <v>9934020</v>
      </c>
      <c r="D7" s="8" t="n">
        <v>17692714</v>
      </c>
      <c r="E7" s="8" t="n">
        <v>7900643</v>
      </c>
      <c r="F7" s="9">
        <f>(C7+D7+E7)/B7</f>
        <v/>
      </c>
    </row>
    <row r="8">
      <c r="A8" s="3" t="inlineStr">
        <is>
          <t>2021-22</t>
        </is>
      </c>
      <c r="B8" s="10" t="n">
        <v>2483</v>
      </c>
      <c r="C8" s="8" t="n">
        <v>10662819</v>
      </c>
      <c r="D8" s="8" t="n">
        <v>18079609</v>
      </c>
      <c r="E8" s="8" t="n">
        <v>9985007</v>
      </c>
      <c r="F8" s="9">
        <f>(C8+D8+E8)/B8</f>
        <v/>
      </c>
    </row>
    <row r="9">
      <c r="A9" s="3" t="inlineStr">
        <is>
          <t>2022-23</t>
        </is>
      </c>
      <c r="B9" s="10" t="n">
        <v>2454</v>
      </c>
      <c r="C9" s="8" t="n">
        <v>11808998</v>
      </c>
      <c r="D9" s="8" t="n">
        <v>20381341</v>
      </c>
      <c r="E9" s="8" t="n">
        <v>9550068</v>
      </c>
      <c r="F9" s="9">
        <f>(C9+D9+E9)/B9</f>
        <v/>
      </c>
    </row>
    <row r="10">
      <c r="A10" s="3" t="inlineStr">
        <is>
          <t>2023-24</t>
        </is>
      </c>
      <c r="B10" s="10" t="n">
        <v>2406</v>
      </c>
      <c r="C10" s="8" t="n">
        <v>13172314</v>
      </c>
      <c r="D10" s="8" t="n">
        <v>17149768</v>
      </c>
      <c r="E10" s="8" t="n">
        <v>8132977</v>
      </c>
      <c r="F10" s="9">
        <f>(C10+D10+E10)/B10</f>
        <v/>
      </c>
    </row>
    <row r="13">
      <c r="A13" s="4" t="inlineStr">
        <is>
          <t>THE 300-STUDENT BREAKEVEN, RECONSTRUCTED (cited at the committee meeting; no worksheet published)</t>
        </is>
      </c>
    </row>
    <row r="14">
      <c r="A14" s="3" t="inlineStr">
        <is>
          <t>Cost side: NMES 2023-24 report-card total per student</t>
        </is>
      </c>
      <c r="B14" s="8" t="n">
        <v>19348</v>
      </c>
      <c r="G14" s="21" t="inlineStr">
        <is>
          <t>KYRC24_FT_Spending_per_Student.csv; includes federal spending and embedded on-behalf</t>
        </is>
      </c>
    </row>
    <row r="15">
      <c r="A15" s="3" t="inlineStr">
        <is>
          <t>Times 128 students</t>
        </is>
      </c>
      <c r="B15" s="23">
        <f>B14*128</f>
        <v/>
      </c>
      <c r="G15" s="21" t="inlineStr">
        <is>
          <t>Equals $2,476,544 exactly, zero-dollar difference from the figure the 300 implies</t>
        </is>
      </c>
    </row>
    <row r="16">
      <c r="A16" s="3" t="inlineStr">
        <is>
          <t>Implied revenue denominator for a 300 breakeven</t>
        </is>
      </c>
      <c r="B16" s="9">
        <f>B15/300</f>
        <v/>
      </c>
    </row>
    <row r="17">
      <c r="A17" s="3" t="inlineStr">
        <is>
          <t>State-only revenue per member, 2022-23</t>
        </is>
      </c>
      <c r="B17" s="9">
        <f>D9/B9</f>
        <v/>
      </c>
      <c r="G17" s="21" t="inlineStr">
        <is>
          <t>$8,305: the only revenue definition in the state's files that lands near the implied $8,255</t>
        </is>
      </c>
    </row>
    <row r="18">
      <c r="A18" s="3" t="inlineStr">
        <is>
          <t>Breakeven N at state-only revenue</t>
        </is>
      </c>
      <c r="B18" s="42">
        <f>B15/B17</f>
        <v/>
      </c>
      <c r="G18" s="21" t="inlineStr">
        <is>
          <t>298 students. Per SEEK AADA (2,490) instead of members: 303. The 300 sits between the two bases.</t>
        </is>
      </c>
    </row>
    <row r="19">
      <c r="A19" s="3" t="inlineStr">
        <is>
          <t>Same fraction with matching definitions: all-in cost / total revenue per member (2023-24)</t>
        </is>
      </c>
      <c r="B19" s="20">
        <f>B15/F10</f>
        <v/>
      </c>
      <c r="G19" s="21" t="inlineStr">
        <is>
          <t>155 students, not 300. The 300 construction counts local and federal dollars on the cost side and skips them on the revenue side; those two sources bring $8,855 per student, more than the state share.</t>
        </is>
      </c>
    </row>
    <row r="21">
      <c r="A21" s="4" t="inlineStr">
        <is>
          <t>THE CORRECTED TEST, APPLIED TO EVERY SCHOOL (all-in cost per pupil / total revenue per member, 2023-24)</t>
        </is>
      </c>
    </row>
    <row r="22">
      <c r="A22" s="17" t="inlineStr">
        <is>
          <t>School</t>
        </is>
      </c>
      <c r="B22" s="17" t="inlineStr">
        <is>
          <t>Cost/pupil</t>
        </is>
      </c>
      <c r="C22" s="17" t="inlineStr">
        <is>
          <t>Enrolled</t>
        </is>
      </c>
      <c r="D22" s="17" t="inlineStr">
        <is>
          <t>Breakeven N</t>
        </is>
      </c>
      <c r="E22" s="17" t="inlineStr">
        <is>
          <t>Short by</t>
        </is>
      </c>
    </row>
    <row r="23">
      <c r="A23" s="3" t="inlineStr">
        <is>
          <t>North Middletown</t>
        </is>
      </c>
      <c r="B23" s="8" t="n">
        <v>19348</v>
      </c>
      <c r="C23" s="10" t="n">
        <v>128</v>
      </c>
      <c r="D23" s="27">
        <f>B23*C23/F$10</f>
        <v/>
      </c>
      <c r="E23" s="27">
        <f>D23-C23</f>
        <v/>
      </c>
    </row>
    <row r="24">
      <c r="A24" s="3" t="inlineStr">
        <is>
          <t>Bourbon Central</t>
        </is>
      </c>
      <c r="B24" s="8" t="n">
        <v>18131</v>
      </c>
      <c r="C24" s="10" t="n">
        <v>459</v>
      </c>
      <c r="D24" s="27">
        <f>B24*C24/F$10</f>
        <v/>
      </c>
      <c r="E24" s="27">
        <f>D24-C24</f>
        <v/>
      </c>
    </row>
    <row r="25">
      <c r="A25" s="3" t="inlineStr">
        <is>
          <t>Cane Ridge</t>
        </is>
      </c>
      <c r="B25" s="8" t="n">
        <v>18670</v>
      </c>
      <c r="C25" s="10" t="n">
        <v>453</v>
      </c>
      <c r="D25" s="27">
        <f>B25*C25/F$10</f>
        <v/>
      </c>
      <c r="E25" s="27">
        <f>D25-C25</f>
        <v/>
      </c>
    </row>
    <row r="26">
      <c r="A26" s="3" t="inlineStr">
        <is>
          <t>Bourbon Co Middle</t>
        </is>
      </c>
      <c r="B26" s="8" t="n">
        <v>16673</v>
      </c>
      <c r="C26" s="10" t="n">
        <v>590</v>
      </c>
      <c r="D26" s="27">
        <f>B26*C26/F$10</f>
        <v/>
      </c>
      <c r="E26" s="27">
        <f>D26-C26</f>
        <v/>
      </c>
    </row>
    <row r="27">
      <c r="A27" s="3" t="inlineStr">
        <is>
          <t>Bourbon Co High</t>
        </is>
      </c>
      <c r="B27" s="8" t="n">
        <v>17404</v>
      </c>
      <c r="C27" s="10" t="n">
        <v>766</v>
      </c>
      <c r="D27" s="27">
        <f>B27*C27/F$10</f>
        <v/>
      </c>
      <c r="E27" s="27">
        <f>D27-C27</f>
        <v/>
      </c>
    </row>
    <row r="28">
      <c r="A28" s="21" t="inlineStr">
        <is>
          <t>Every school in the district fails, including both receiving schools; Cane Ridge falls short by 76 students and about $1.2 million on this test, nearly three times NMES. Statewide, 1,146 of 1,151 A1 schools with reported data (99.6 percent) spend more per student all-in than $8,255. An average-cost breakeven in a drawdown year is a district-budget thermometer, not a school test.</t>
        </is>
      </c>
    </row>
    <row r="30">
      <c r="A30" s="4" t="inlineStr">
        <is>
          <t>THE REAL BREAKEVEN: FIXED SITE BASE VS THE FUNDING A STUDENT CARRIES</t>
        </is>
      </c>
    </row>
    <row r="31">
      <c r="A31" s="17" t="inlineStr">
        <is>
          <t>School</t>
        </is>
      </c>
      <c r="B31" s="17" t="inlineStr">
        <is>
          <t>Fixed base</t>
        </is>
      </c>
      <c r="C31" s="17" t="inlineStr">
        <is>
          <t>N (SEEK only)</t>
        </is>
      </c>
      <c r="D31" s="17" t="inlineStr">
        <is>
          <t>N if fed counted</t>
        </is>
      </c>
      <c r="E31" s="17" t="inlineStr">
        <is>
          <t>Enrolled</t>
        </is>
      </c>
    </row>
    <row r="32">
      <c r="A32" s="3" t="inlineStr">
        <is>
          <t>North Middletown</t>
        </is>
      </c>
      <c r="B32" s="18">
        <f>Assumptions!B51+Assumptions!B52</f>
        <v/>
      </c>
      <c r="C32" s="27">
        <f>B32/(Assumptions!B6-Assumptions!B62)</f>
        <v/>
      </c>
      <c r="D32" s="27">
        <f>B32/(Assumptions!B6+3380-Assumptions!B62)</f>
        <v/>
      </c>
      <c r="E32" s="10" t="n">
        <v>128</v>
      </c>
      <c r="G32" s="21" t="inlineStr">
        <is>
          <t>B51 and B52 are now the measured lines themselves and plant is scaled by KFICS replacement value for the other two schools. The district's FY2026 working budget measures North Middletown's own General Fund lines, excluding state-paid on-behalf, at school administration $132,744, plant operations $96,107 (the General Fund portion of function 2600; $119,909 across all funds) and instructional staff support, the school's library and media line, $49,097. Administration plus plant measure $227,831 on the program view used by B51 and B52, or $228,851 on the function view, against the $290,000 this model assumed for the same two components through v3.8. Local carries zero at the margin, because the levy does not change with enrollment, and federal carries zero as well, because Title I is a district allocation driven by resident poverty and reappears at whichever school the child attends. Column D keeps the federal case only to show how far the answer moves when you count it.</t>
        </is>
      </c>
    </row>
    <row r="33">
      <c r="A33" s="3" t="inlineStr">
        <is>
          <t>Cane Ridge</t>
        </is>
      </c>
      <c r="B33" s="9">
        <f>Assumptions!B51+Assumptions!B52*Facility_Plans!F68/Facility_Plans!F69</f>
        <v/>
      </c>
      <c r="C33" s="27">
        <f>B33/(Assumptions!B6-Assumptions!B62)</f>
        <v/>
      </c>
      <c r="D33" s="27">
        <f>B33/(Assumptions!B6+3380-Assumptions!B62)</f>
        <v/>
      </c>
      <c r="E33" s="10" t="n">
        <v>453</v>
      </c>
    </row>
    <row r="34">
      <c r="A34" s="3" t="inlineStr">
        <is>
          <t>Bourbon Central</t>
        </is>
      </c>
      <c r="B34" s="9">
        <f>Assumptions!B51+Assumptions!B52*Facility_Plans!F67/Facility_Plans!F69</f>
        <v/>
      </c>
      <c r="C34" s="27">
        <f>B34/(Assumptions!B6-Assumptions!B62)</f>
        <v/>
      </c>
      <c r="D34" s="27">
        <f>B34/(Assumptions!B6+3380-Assumptions!B62)</f>
        <v/>
      </c>
      <c r="E34" s="10" t="n">
        <v>459</v>
      </c>
    </row>
    <row r="35">
      <c r="A35" s="21" t="inlineStr">
        <is>
          <t>NMES clears its bar at roughly two to two and a half times its enrollment; the receiving schools at roughly 5 to 6 times. The full grid version with position, busing, and leaver effects brackets NMES at 20 to 122 (KY_Closures yardstick rows). Every construction except all-source-cost-over-state-only-revenue says every school pays its way.</t>
        </is>
      </c>
    </row>
    <row r="37">
      <c r="A37" s="4" t="inlineStr">
        <is>
          <t>SCHOOL-LEVEL SPENDING PER STUDENT, OLD SRC SYSTEM 2011-12 TO 2016-17 (KDE Learning Environment files; archived CSV in build/)</t>
        </is>
      </c>
    </row>
    <row r="38">
      <c r="A38" s="17" t="inlineStr">
        <is>
          <t>Year</t>
        </is>
      </c>
      <c r="B38" s="17" t="inlineStr">
        <is>
          <t>NMES</t>
        </is>
      </c>
      <c r="C38" s="17" t="inlineStr">
        <is>
          <t>NMES members</t>
        </is>
      </c>
      <c r="D38" s="17" t="inlineStr">
        <is>
          <t>BCES</t>
        </is>
      </c>
      <c r="E38" s="17" t="inlineStr">
        <is>
          <t>Cane Ridge</t>
        </is>
      </c>
      <c r="F38" s="17" t="inlineStr">
        <is>
          <t>NMES vs BCES</t>
        </is>
      </c>
    </row>
    <row r="39">
      <c r="A39" s="3" t="inlineStr">
        <is>
          <t>2011-12</t>
        </is>
      </c>
      <c r="B39" s="8" t="n">
        <v>9715</v>
      </c>
      <c r="C39" s="10" t="n">
        <v>177</v>
      </c>
      <c r="D39" s="8" t="n">
        <v>7351</v>
      </c>
      <c r="E39" s="8" t="n">
        <v>7740</v>
      </c>
      <c r="F39" s="43">
        <f>B39/D39-1</f>
        <v/>
      </c>
    </row>
    <row r="40">
      <c r="A40" s="3" t="inlineStr">
        <is>
          <t>2012-13</t>
        </is>
      </c>
      <c r="B40" s="8" t="n">
        <v>19635</v>
      </c>
      <c r="C40" s="10" t="n">
        <v>158</v>
      </c>
      <c r="D40" s="8" t="n">
        <v>10281</v>
      </c>
      <c r="E40" s="8" t="n">
        <v>11383</v>
      </c>
      <c r="F40" s="43">
        <f>B40/D40-1</f>
        <v/>
      </c>
      <c r="G40" s="21" t="inlineStr">
        <is>
          <t>2012-13 NMES prints $19,635, off both neighbors' trend by a factor of two in a renovation year: a capital charge booked to the site. Excluded from operating comparisons.</t>
        </is>
      </c>
    </row>
    <row r="41">
      <c r="A41" s="3" t="inlineStr">
        <is>
          <t>2013-14</t>
        </is>
      </c>
      <c r="B41" s="8" t="n">
        <v>9948</v>
      </c>
      <c r="C41" s="10" t="n">
        <v>154</v>
      </c>
      <c r="D41" s="8" t="n">
        <v>7123</v>
      </c>
      <c r="E41" s="8" t="n">
        <v>7718</v>
      </c>
      <c r="F41" s="43">
        <f>B41/D41-1</f>
        <v/>
      </c>
    </row>
    <row r="42">
      <c r="A42" s="3" t="inlineStr">
        <is>
          <t>2014-15</t>
        </is>
      </c>
      <c r="B42" s="8" t="n">
        <v>10999</v>
      </c>
      <c r="C42" s="10" t="n">
        <v>153</v>
      </c>
      <c r="D42" s="8" t="n">
        <v>8651</v>
      </c>
      <c r="E42" s="8" t="n">
        <v>9222</v>
      </c>
      <c r="F42" s="43">
        <f>B42/D42-1</f>
        <v/>
      </c>
    </row>
    <row r="43">
      <c r="A43" s="3" t="inlineStr">
        <is>
          <t>2015-16</t>
        </is>
      </c>
      <c r="B43" s="8" t="n">
        <v>11521</v>
      </c>
      <c r="C43" s="10" t="n">
        <v>149</v>
      </c>
      <c r="D43" s="8" t="n">
        <v>8705</v>
      </c>
      <c r="E43" s="8" t="n">
        <v>9655</v>
      </c>
      <c r="F43" s="43">
        <f>B43/D43-1</f>
        <v/>
      </c>
    </row>
    <row r="44">
      <c r="A44" s="3" t="inlineStr">
        <is>
          <t>2016-17</t>
        </is>
      </c>
      <c r="B44" s="8" t="n">
        <v>13260</v>
      </c>
      <c r="C44" s="10" t="n">
        <v>133</v>
      </c>
      <c r="D44" s="8" t="n">
        <v>9197</v>
      </c>
      <c r="E44" s="8" t="n">
        <v>9815</v>
      </c>
      <c r="F44" s="43">
        <f>B44/D44-1</f>
        <v/>
      </c>
    </row>
    <row r="45">
      <c r="A45" s="21" t="inlineStr">
        <is>
          <t>These are the deep-emptiness years (133-177 students): the premium is widest exactly when the building is emptiest. Two federal collections confirm the pattern independently: CRDC school-level salaries (archived) and the NCES school-level finance survey FY16-FY17 (archived).</t>
        </is>
      </c>
    </row>
    <row r="47">
      <c r="A47" s="4" t="inlineStr">
        <is>
          <t>THE 2000-01 REPORT CARDS: FOUR SCHOOLS, ONE SCALE CURVE (recovered from the Internet Archive; archive copies being added)</t>
        </is>
      </c>
    </row>
    <row r="48">
      <c r="A48" s="17" t="inlineStr">
        <is>
          <t>School</t>
        </is>
      </c>
      <c r="B48" s="17" t="inlineStr">
        <is>
          <t>Students</t>
        </is>
      </c>
      <c r="C48" s="17" t="inlineStr">
        <is>
          <t>Reported $/student</t>
        </is>
      </c>
      <c r="D48" s="17" t="inlineStr">
        <is>
          <t>Curve prediction</t>
        </is>
      </c>
    </row>
    <row r="49">
      <c r="A49" s="3" t="inlineStr">
        <is>
          <t>Bourbon Central</t>
        </is>
      </c>
      <c r="B49" s="10" t="n">
        <v>595</v>
      </c>
      <c r="C49" s="8" t="n">
        <v>3360</v>
      </c>
      <c r="D49" s="9">
        <f>B$55+B$54*E49</f>
        <v/>
      </c>
      <c r="E49" s="44">
        <f>1/B49</f>
        <v/>
      </c>
      <c r="G49" s="21" t="inlineStr">
        <is>
          <t>One formula, about $2,851 per student plus about $332,000 per building over the zone-assigned enrollment, predicts all four schools within 4 percent. No school on this table was mismanaged; the ranking is enrollment. Cane Ridge itself cost 21 percent more than Bourbon Central at 312 students. CATS-era cards may report prior-year spending; the within-year comparison is unaffected.</t>
        </is>
      </c>
    </row>
    <row r="50">
      <c r="A50" s="3" t="inlineStr">
        <is>
          <t>Cane Ridge</t>
        </is>
      </c>
      <c r="B50" s="10" t="n">
        <v>312</v>
      </c>
      <c r="C50" s="8" t="n">
        <v>4053</v>
      </c>
      <c r="D50" s="9">
        <f>B$55+B$54*E50</f>
        <v/>
      </c>
      <c r="E50" s="44">
        <f>1/B50</f>
        <v/>
      </c>
    </row>
    <row r="51">
      <c r="A51" s="3" t="inlineStr">
        <is>
          <t>North Middletown</t>
        </is>
      </c>
      <c r="B51" s="10" t="n">
        <v>193</v>
      </c>
      <c r="C51" s="8" t="n">
        <v>4414</v>
      </c>
      <c r="D51" s="9">
        <f>B$55+B$54*E51</f>
        <v/>
      </c>
      <c r="E51" s="44">
        <f>1/B51</f>
        <v/>
      </c>
    </row>
    <row r="52">
      <c r="A52" s="3" t="inlineStr">
        <is>
          <t>Millersburg</t>
        </is>
      </c>
      <c r="B52" s="10" t="n">
        <v>145</v>
      </c>
      <c r="C52" s="8" t="n">
        <v>5200</v>
      </c>
      <c r="D52" s="9">
        <f>B$55+B$54*E52</f>
        <v/>
      </c>
      <c r="E52" s="44">
        <f>1/B52</f>
        <v/>
      </c>
    </row>
    <row r="54">
      <c r="A54" s="3" t="inlineStr">
        <is>
          <t>Fixed base per building (least-squares slope on 1/N)</t>
        </is>
      </c>
      <c r="B54" s="23">
        <f>SLOPE(C49:C52,E49:E52)</f>
        <v/>
      </c>
    </row>
    <row r="55">
      <c r="A55" s="3" t="inlineStr">
        <is>
          <t>Variable cost per student (intercept)</t>
        </is>
      </c>
      <c r="B55" s="23">
        <f>INTERCEPT(C49:C52,E49:E52)</f>
        <v/>
      </c>
    </row>
    <row r="56">
      <c r="A56" s="3" t="inlineStr">
        <is>
          <t>Fit quality (R-squared)</t>
        </is>
      </c>
      <c r="B56" s="45">
        <f>RSQ(C49:C52,E49:E52)</f>
        <v/>
      </c>
    </row>
    <row r="58">
      <c r="A58" s="4" t="inlineStr">
        <is>
          <t>THE MILLERSBURG SYMMETRY: THE DISTRICT HAS RUN THIS EXPERIMENT</t>
        </is>
      </c>
    </row>
    <row r="59">
      <c r="A59" s="3" t="inlineStr">
        <is>
          <t>Millersburg premium over its receiving school, 2000-01 (per student x students)</t>
        </is>
      </c>
      <c r="B59" s="23">
        <f>(C52-C50)*B52</f>
        <v/>
      </c>
      <c r="G59" s="21" t="inlineStr">
        <is>
          <t>$166,315 in FY2001 dollars. Closed 2006; the 30-year record (KY_Closures tab) shows no measurable district budget bend afterward.</t>
        </is>
      </c>
    </row>
    <row r="60">
      <c r="A60" s="3" t="inlineStr">
        <is>
          <t>NMES premium over the cheaper receiving school, 2023-24 (same computation)</t>
        </is>
      </c>
      <c r="B60" s="23">
        <f>(B14-18131)*128</f>
        <v/>
      </c>
      <c r="G60" s="21" t="inlineStr">
        <is>
          <t>$155,776. The same experiment at almost the same number, twenty-three years apart.</t>
        </is>
      </c>
    </row>
    <row r="62">
      <c r="A62" s="4" t="inlineStr">
        <is>
          <t>STAFFING RECORD (federal CCD, 1996-2019; archived build/bourbon_staffing_ratios_ccd.csv)</t>
        </is>
      </c>
    </row>
    <row r="63">
      <c r="A63" s="21" t="inlineStr">
        <is>
          <t>NMES students per teacher at its 2007-09 enrollment peak (224 and 217 students): 16.0 and 15.5, vs 16.1-16.3 at Bourbon Central and Cane Ridge: parity. The ratio falls to 11.8 by 2012-13 as enrollment falls; the dollar premium peaks in the same years. 1998-2000 CCD teacher counts are corrupt for small Kentucky schools and excluded; single-year integer FTE wobbles about one student per teacher.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2026-08-03T11:18:55Z</dcterms:created>
  <dcterms:modified xmlns:dcterms="http://purl.org/dc/terms/" xmlns:xsi="http://www.w3.org/2001/XMLSchema-instance" xsi:type="dcterms:W3CDTF">2026-08-03T11:18:55Z</dcterms:modified>
</cp:coreProperties>
</file>