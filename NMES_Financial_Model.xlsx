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Shared services with Paris Independent</t>
        </is>
      </c>
      <c r="B11" s="8" t="n">
        <v>100000</v>
      </c>
      <c r="C11" s="8" t="n">
        <v>300000</v>
      </c>
      <c r="D11" s="2" t="inlineStr">
        <is>
          <t>Transport, food service, back office</t>
        </is>
      </c>
      <c r="E11" s="2" t="inlineStr">
        <is>
          <t>Cost reduction</t>
        </is>
      </c>
      <c r="F11" s="2" t="inlineStr">
        <is>
          <t>Low; needs an interlocal feasibility study</t>
        </is>
      </c>
    </row>
    <row r="12">
      <c r="A12" s="3" t="inlineStr">
        <is>
          <t>Fill NMES to capacity (rebalance + transfers, net)</t>
        </is>
      </c>
      <c r="B12" s="18">
        <f>Redistricting!B30</f>
        <v/>
      </c>
      <c r="C12" s="18">
        <f>Redistricting!B31</f>
        <v/>
      </c>
      <c r="D12" s="2" t="inlineStr">
        <is>
          <t>Boundary rebalancing and cross-county scenario, Redistricting tab</t>
        </is>
      </c>
      <c r="E12" s="2" t="inlineStr">
        <is>
          <t>New revenue, net of costs</t>
        </is>
      </c>
      <c r="F12" s="2" t="inlineStr">
        <is>
          <t>High; board boundary authority, math on Redistricting tab</t>
        </is>
      </c>
    </row>
    <row r="13">
      <c r="A13" s="3" t="inlineStr">
        <is>
          <t>District-wide recruitment beyond NMES's 46 seats (homeschool, private-school, nonresident incentives; v3.8)</t>
        </is>
      </c>
      <c r="B13" s="18">
        <f>25*(Assumptions!B6-Assumptions!B62)</f>
        <v/>
      </c>
      <c r="C13" s="18">
        <f>50*(Assumptions!B6-Assumptions!B62)</f>
        <v/>
      </c>
      <c r="D13" s="2" t="inlineStr">
        <is>
          <t>25-50 additional students at $4,226 net; pool measured on Redistricting rows 116-135 (259 registered homeschoolers, ACS pool ~1,135, net import already 189); 62 open seats exist at Bourbon Central's approved rating</t>
        </is>
      </c>
      <c r="E13" s="2" t="inlineStr">
        <is>
          <t>New revenue</t>
        </is>
      </c>
      <c r="F13" s="2" t="inlineStr">
        <is>
          <t>Medium; needs an enrollment marketing plan and incentive design</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1000000</v>
      </c>
    </row>
    <row r="19">
      <c r="A19" s="3" t="inlineStr">
        <is>
          <t>Conservative combined estimate, high</t>
        </is>
      </c>
      <c r="B19" s="14" t="n">
        <v>1900000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$1.5M to $2.6M; the published $1.0M to $1.9M band applies a conservative haircut for overlap and implementation risk. Medicaid and reimbursement recovery were removed from the menu in v4.2 review. Coverage is reported against both yardsticks: the $2.65M structural gap before transfers and the roughly $1.15M net drawdown after transfers (Closure_Model rows 21 and 35 carry both for closure).</t>
        </is>
      </c>
    </row>
    <row r="26">
      <c r="A26" s="4" t="inlineStr">
        <is>
          <t>THE GROWTH PATH: THE SAME MENU AS A DISTRICT-WIDE RECOVERY PLAN (v3.8; backs the site card and Section 9)</t>
        </is>
      </c>
    </row>
    <row r="27">
      <c r="A27" s="3" t="inlineStr">
        <is>
          <t>Move 1: inspect fixed costs (every non-teaching position via attrition, administrative restructuring, transport, energy, shared services)</t>
        </is>
      </c>
      <c r="B27" s="23">
        <f>SUM(B7:B11)</f>
        <v/>
      </c>
      <c r="C27" s="23">
        <f>SUM(C7:C11)</f>
        <v/>
      </c>
    </row>
    <row r="28">
      <c r="A28" s="3" t="inlineStr">
        <is>
          <t>Move 2: grow enrollment instead of shrinking it (attendance recovery, fill NMES, district-wide recruitment)</t>
        </is>
      </c>
      <c r="B28" s="23">
        <f>B6+B12+B13</f>
        <v/>
      </c>
      <c r="C28" s="23">
        <f>C6+C12+C13</f>
        <v/>
      </c>
    </row>
    <row r="29">
      <c r="A29" s="3" t="inlineStr">
        <is>
          <t>Move 3: the honest revenue conversation, year one (4 percent option plus delinquency; compounds by year three; recallable menu beyond it on Tax_History rows 70-91)</t>
        </is>
      </c>
      <c r="B29" s="23">
        <f>B4+B5</f>
        <v/>
      </c>
      <c r="C29" s="23">
        <f>C4+C5</f>
        <v/>
      </c>
    </row>
    <row r="30">
      <c r="A30" s="3" t="inlineStr">
        <is>
          <t>Growth plan total (equals the raw sum above; the published band is the conservative cut of the same rows)</t>
        </is>
      </c>
      <c r="B30" s="23">
        <f>B27+B28+B29</f>
        <v/>
      </c>
      <c r="C30" s="23">
        <f>C27+C28+C29</f>
        <v/>
      </c>
    </row>
    <row r="31">
      <c r="A31"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2026-08-01T18:55:22Z</dcterms:created>
  <dcterms:modified xmlns:dcterms="http://purl.org/dc/terms/" xmlns:xsi="http://www.w3.org/2001/XMLSchema-instance" xsi:type="dcterms:W3CDTF">2026-08-01T18:55:22Z</dcterms:modified>
</cp:coreProperties>
</file>