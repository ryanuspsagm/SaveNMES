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(v4.6,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1 and 2).</t>
        </is>
      </c>
    </row>
    <row r="20">
      <c r="A20" s="2" t="inlineStr">
        <is>
          <t xml:space="preserve">  County demographics and the full 1989-2025 NMES enrollment series: Demographics tab (backs Section 10 and Figure 14).</t>
        </is>
      </c>
    </row>
    <row r="21">
      <c r="A21" s="2" t="inlineStr">
        <is>
          <t xml:space="preserve">  Tax rates, fund split, delinquency check, and the recallable options: Tax_History tab (backs Section 10 and Figures 15 and 16).</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8).</t>
        </is>
      </c>
    </row>
    <row r="24">
      <c r="A24" s="2" t="inlineStr">
        <is>
          <t xml:space="preserve">  Student density, route-mile math, and busing cost scenarios: Transport_Geo tab (backs Appendix B).</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 (LEGACY single-point scenario on superseded inputs; the published model is the 5,832-scenario grid at row 37, median a $20,007 LOSS)</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5; THIS GRID, not the legacy single-point rows above, is the published closure model)</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grid's best case (every lever at its closure-friendliest),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$591,545 to plus $484,582 with a weighted median of minus $20,007,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later corroborated as 2023-24 SAAR in the 2026 draft plan,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6">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23">
        <f>450*Assumptions!B6</f>
        <v/>
      </c>
      <c r="C139" s="23">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KRS 160.470 four percent revenue mechanics (context; the published lead lever is the 2018 restore, Tax_History rows 70-91)</t>
        </is>
      </c>
      <c r="B4" s="18">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18">
        <f>GF_Summary!D16</f>
        <v/>
      </c>
    </row>
    <row r="21">
      <c r="A21" s="3" t="inlineStr">
        <is>
          <t>Closure net saving (LEGACY single-point base case, superseded by the grid median of -$20,007 at Closure_Model row 50)</t>
        </is>
      </c>
      <c r="B21" s="18">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(this cell keeps the 4 percent + delinquency mechanics for continuity; the published lead lever is the 2018 restore, about $1.5M a year, Tax_History rows 82-89)</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-20007</v>
      </c>
      <c r="C6" s="9">
        <f>Runway!E7</f>
        <v/>
      </c>
      <c r="D6" s="2" t="inlineStr">
        <is>
          <t>Unpublished</t>
        </is>
      </c>
      <c r="E6" s="2" t="inlineStr">
        <is>
          <t>Closure vote; the weighted median LOSES $20,007 a year (B6 is the grid median; the legacy single-point Closure_Model!B20 is superseded); the legacy base case covers 9.1% of the $2.65M gap, the grid central case 2.0%, and the +$484,582 best-case tail 18.3%;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65.5</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-20007/Assumptions!B11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2026-08-03T12:05:26Z</dcterms:created>
  <dcterms:modified xmlns:dcterms="http://purl.org/dc/terms/" xmlns:xsi="http://www.w3.org/2001/XMLSchema-instance" xsi:type="dcterms:W3CDTF">2026-08-03T12:05:26Z</dcterms:modified>
</cp:coreProperties>
</file>