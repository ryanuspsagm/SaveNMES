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B17+C17+Closure_Model!C40+3*54479.4-63000-159*(Assumptions!B6+500-Assumptions!B62)</f>
        <v/>
      </c>
      <c r="F34" s="21">
        <f> $127,039 kept, plus half the fixed overhead positions ($107,052, Closure_Model C40) and three teachers at $54,479.40, minus $63,000 of busing, minus the statistical median of 159 missing students at $5,136 less the $400 supplies credit: the published -$418,495, the 77th percentile of the 972-scenario grid; the weighted median is a $534,433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$534,433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129/159/187)</t>
        </is>
      </c>
      <c r="B43" s="8" t="n">
        <v>129</v>
      </c>
      <c r="C43" s="8" t="n">
        <v>159</v>
      </c>
      <c r="D43" s="8" t="n">
        <v>187</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-$519,734: the central case itself loses money, about 21 percent of the structural deficit added, not removed</t>
        </is>
      </c>
    </row>
    <row r="48">
      <c r="A48" s="3" t="inlineStr">
        <is>
          <t>Unfavorable tail (all levers adverse)</t>
        </is>
      </c>
      <c r="B48" s="9">
        <f>B39+B40+B41*54479.4-D42-D43*(Assumptions!B6+D44-Assumptions!B62)</f>
        <v/>
      </c>
      <c r="C48" s="2" t="inlineStr">
        <is>
          <t>-$1,020,613 a year: the closure loses money</t>
        </is>
      </c>
    </row>
    <row r="49">
      <c r="A49" s="3" t="inlineStr">
        <is>
          <t>Favorable tail (all levers favorable)</t>
        </is>
      </c>
      <c r="B49" s="9">
        <f>D39+D40+D41*54479.4-B42-B43*(Assumptions!B6+B44-Assumptions!B62)</f>
        <v/>
      </c>
      <c r="C49" s="2" t="inlineStr">
        <is>
          <t>-$61,862 a year: even the grid's best case (every lever at its closure-friendliest, the band's low leg of 137 leavers) loses money, roughly $900,000 to $1.1 million short of the plan's $800K-$1M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(129/159/187), with the signed-survey floor of 74 kept as hard evidence below every priced leg. v5.0 lever weights: triangular 1-2-1 on every three-leg lever, uniform on teachers. Weighted median -$534,433 (the median scenario LOSES money); middle half -$643,405 to -$429,974; EVERY weighted scenario is negative, the best case still loses $61,862; range -$1,020,613 to -$61,862 (unweighted median -$530,476).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(last official SAAR end-of-year count, 2024-25)</t>
        </is>
      </c>
      <c r="B8" s="10" t="n">
        <v>128</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128</t>
        </is>
      </c>
      <c r="D18" s="25" t="inlineStr">
        <is>
          <t>Per year, full feeder</t>
        </is>
      </c>
      <c r="E18" s="25" t="inlineStr">
        <is>
          <t>$/yr (feeder)</t>
        </is>
      </c>
      <c r="F18" s="25" t="inlineStr">
        <is>
          <t>Basis</t>
        </is>
      </c>
    </row>
    <row r="19">
      <c r="A19" s="3" t="inlineStr">
        <is>
          <t>Band low (25th pct)</t>
        </is>
      </c>
      <c r="B19" s="10" t="n">
        <v>0.47475</v>
      </c>
      <c r="C19" s="11">
        <f>ROUND(B19*$B$8,0)</f>
        <v/>
      </c>
      <c r="D19" s="11">
        <f>ROUND(B19*$B$9*$B$15,0)</f>
        <v/>
      </c>
      <c r="E19" s="9">
        <f>B19*$B$9*$B$15*(Assumptions!B6+500)</f>
        <v/>
      </c>
      <c r="F19" s="21" t="inlineStr">
        <is>
          <t>Middle half of the corrected posterior; the closure grid's low leg</t>
        </is>
      </c>
    </row>
    <row r="20">
      <c r="A20" s="3" t="inlineStr">
        <is>
          <t>Median</t>
        </is>
      </c>
      <c r="B20" s="10" t="n">
        <v>0.58475</v>
      </c>
      <c r="C20" s="11">
        <f>ROUND(B20*$B$8,0)</f>
        <v/>
      </c>
      <c r="D20" s="11">
        <f>ROUND(B20*$B$9*$B$15,0)</f>
        <v/>
      </c>
      <c r="E20" s="9">
        <f>B20*$B$9*$B$15*(Assumptions!B6+500)</f>
        <v/>
      </c>
      <c r="F20" s="21" t="inlineStr">
        <is>
          <t>The closure grid's central leg and the calculator default</t>
        </is>
      </c>
    </row>
    <row r="21">
      <c r="A21" s="3" t="inlineStr">
        <is>
          <t>Band high (75th pct)</t>
        </is>
      </c>
      <c r="B21" s="10" t="n">
        <v>0.68975</v>
      </c>
      <c r="C21" s="11">
        <f>ROUND(B21*$B$8,0)</f>
        <v/>
      </c>
      <c r="D21" s="11">
        <f>ROUND(B21*$B$9*$B$15,0)</f>
        <v/>
      </c>
      <c r="E21" s="9">
        <f>B21*$B$9*$B$15*(Assumptions!B6+500)</f>
        <v/>
      </c>
      <c r="F21" s="21" t="inlineStr">
        <is>
          <t>The closure grid's high leg</t>
        </is>
      </c>
    </row>
    <row r="22">
      <c r="A22" s="3" t="inlineStr">
        <is>
          <t>95th percentile bound</t>
        </is>
      </c>
      <c r="B22" s="10" t="n">
        <v>0.81625</v>
      </c>
      <c r="C22" s="11">
        <f>ROUND(B22*$B$8,0)</f>
        <v/>
      </c>
      <c r="D22" s="11">
        <f>ROUND(B22*$B$9*$B$15,0)</f>
        <v/>
      </c>
      <c r="E22" s="9">
        <f>B22*$B$9*$B$15*(Assumptions!B6+500)</f>
        <v/>
      </c>
      <c r="F22" s="21" t="inlineStr">
        <is>
          <t>Not priced in the grid; the honest upper bound</t>
        </is>
      </c>
    </row>
    <row r="24">
      <c r="A24" s="21" t="inlineStr">
        <is>
          <t>Leave shares are the posterior of a response-propensity model: among enrolled surveyed children the raw split is 20 leavers to 4 stayers; leaving families are assumed about 1x to 9x likelier to answer (log-normal prior centered on 3.5x, the high end of the published measurements, chosen for a small, emotionally charged respondent pool),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$1,020,613 to minus $61,862 with a weighted median of minus $534,433,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-$534,433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(-$519,734); the weighted median loses $534,433</t>
        </is>
      </c>
    </row>
    <row r="47">
      <c r="A47" s="3" t="inlineStr">
        <is>
          <t>Closure model median (v5.0 weighted grid)</t>
        </is>
      </c>
      <c r="B47" s="8" t="n">
        <v>-534433</v>
      </c>
      <c r="C47" s="9">
        <f>B47*(1-(1+B$40)^-B$41)/B$40</f>
        <v/>
      </c>
      <c r="F47" s="21" t="inlineStr">
        <is>
          <t>Closure_Model tab, 972-combination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-$61,862 best case drains reserves faster than status quo, the -$534,433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-534433</v>
      </c>
      <c r="C6" s="9">
        <f>Runway!E7</f>
        <v/>
      </c>
      <c r="D6" s="2" t="inlineStr">
        <is>
          <t>Unpublished</t>
        </is>
      </c>
      <c r="E6" s="2" t="inlineStr">
        <is>
          <t>Closure vote; the weighted median LOSES $534,433 a year (B6 is the grid median; the legacy single-point Closure_Model!B20 is superseded); the grid central case itself loses $519,734, and even the best-case tail still loses $61,862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-534433/Assumptions!B11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2026-08-18T01:11:05Z</dcterms:created>
  <dcterms:modified xmlns:dcterms="http://purl.org/dc/terms/" xmlns:xsi="http://www.w3.org/2001/XMLSchema-instance" xsi:type="dcterms:W3CDTF">2026-08-18T01:11:05Z</dcterms:modified>
</cp:coreProperties>
</file>