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Share of the structural deficit ($2.65M) | of the reserve drawdown ($1.15M)</t>
        </is>
      </c>
      <c r="B35" s="19">
        <f>B34/(Assumptions!B24-Assumptions!B21)</f>
        <v/>
      </c>
      <c r="C35" s="19">
        <f>B34/GF_Summary!D16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5"/>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1"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2">
        <f>B13-B14</f>
        <v/>
      </c>
    </row>
    <row r="16">
      <c r="A16" s="3" t="inlineStr">
        <is>
          <t>NMES students needing seats on closure</t>
        </is>
      </c>
      <c r="B16" s="25">
        <f>Assumptions!B11</f>
        <v/>
      </c>
    </row>
    <row r="17">
      <c r="A17" s="3" t="inlineStr">
        <is>
          <t>Shortfall if closure proceeds today</t>
        </is>
      </c>
      <c r="B17" s="3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2">
        <f>D30+D31</f>
        <v/>
      </c>
    </row>
    <row r="34">
      <c r="A34" s="3" t="inlineStr">
        <is>
          <t>NMES fill rate even at the draft's own 154 rating</t>
        </is>
      </c>
      <c r="B34" s="33">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2026-07-21T02:14:10Z</dcterms:created>
  <dcterms:modified xsi:type="dcterms:W3CDTF">2026-07-21T02:14:10Z</dcterms:modified>
</cp:coreProperties>
</file>