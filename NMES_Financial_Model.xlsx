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V3.9 TWO-TAILED SENSITIVITY: SEVEN LEVERS, 2,916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(reassigned / mothballed / sold)</t>
        </is>
      </c>
      <c r="B41" s="8" t="n">
        <v>58774</v>
      </c>
      <c r="C41" s="8" t="n">
        <v>227831</v>
      </c>
      <c r="D41" s="8" t="n">
        <v>276928</v>
      </c>
      <c r="E41" s="2" t="inlineStr">
        <is>
          <t>MEASURED v3.9 from the district FY2026 working budget, location 090, General Fund, excl on-behalf: school admin (2400) $132,744 + plant (2600) $96,107 = $228,851 vs the $230,000 mothballed lever, a 0.5% miss; adding the library/media line $49,097 gives $277,948 vs the $290,000 sold lever. NOTE: $230,000 is this grid FLOOR and assumes principal, secretary, custodian and utilities are all eliminated rather than reassigned; a redeployment case (utilities only, $58,774) is not in the grid.</t>
        </is>
      </c>
    </row>
    <row r="42">
      <c r="A42" s="3" t="inlineStr">
        <is>
          <t>Added busing</t>
        </is>
      </c>
      <c r="B42" s="8" t="n">
        <v>100000</v>
      </c>
      <c r="C42" s="8" t="n">
        <v>137500</v>
      </c>
      <c r="D42" s="8" t="n">
        <v>250000</v>
      </c>
      <c r="E42" s="2" t="inlineStr">
        <is>
          <t>110 sq mi zone (federal SABS); worst-reimbursed budget line. Treated as net new cost with nothing in the school's own code to offset it: student transportation coded to location 090 in the FY2026 working budget is $2,000, while location 901 is 100 percent function 2700 at $2,688,247, the only material transportation coding in the district.</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$69,071: about 2.6 percent of the structural deficit</t>
        </is>
      </c>
    </row>
    <row r="48">
      <c r="A48" s="3" t="inlineStr">
        <is>
          <t>Unfavorable tail (all levers adverse)</t>
        </is>
      </c>
      <c r="B48" s="9">
        <f>B41+B39*B40-D42-D43*Assumptions!B6-D44-D45</f>
        <v/>
      </c>
      <c r="C48" s="2" t="inlineStr">
        <is>
          <t>-$556,006 a year: the closure loses money</t>
        </is>
      </c>
    </row>
    <row r="49">
      <c r="A49" s="3" t="inlineStr">
        <is>
          <t>Favorable tail (all levers favorable)</t>
        </is>
      </c>
      <c r="B49" s="9">
        <f>D41+D39*D40-B42-B43*Assumptions!B6-B44-B45</f>
        <v/>
      </c>
      <c r="C49" s="2" t="inlineStr">
        <is>
          <t>+$551,928 a year: the ceiling, and still below the plan's $800K-$1M requirement</t>
        </is>
      </c>
    </row>
    <row r="50">
      <c r="A50" s="21" t="inlineStr">
        <is>
          <t>Distribution of all 2,916 combinations, equal weights, enumerated by build/closure_grid.py: positions take four values (2, 3, 4, 5) and the six other levers three each (4 x 3^6 = 2,916). Median +$21,571; middle half -$104,726 to +$146,274; 45.06 percent (1,314 of 2,916, published as 45 percent) of scenarios negative. One-time transition costs $100K-$300K in year one are additional. REBUILT IN v3.9: the fixed-avoided lever previously took two estimated values ($230,000 mothballed, $290,000 sold), both of which assumed every fixed position at the school is eliminated. It now takes three measured values from the district FY2026 working budget, location 090, General Fund, excl on-behalf: $58,774 (staff reassigned to other buildings, utilities only), $227,831 (mothballed: school admin $131,724 + custodial $37,333 + plant $58,774) and $276,928 (sold: the above plus library and media $49,097). Adding the reassignment case moved the median from +$91,240 to +$21,571 and the negative share from 28.8 to 45.1 percent.</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v3.9 closure model's median ($21,571) and central case ($69,071)</t>
        </is>
      </c>
    </row>
    <row r="47">
      <c r="A47" s="3" t="inlineStr">
        <is>
          <t>Closure model median (v3.9 two-tailed grid)</t>
        </is>
      </c>
      <c r="B47" s="8" t="n">
        <v>21571</v>
      </c>
      <c r="C47" s="9">
        <f>B47*(1-(1+B$40)^-B$41)/B$40</f>
        <v/>
      </c>
      <c r="F47" s="21" t="inlineStr">
        <is>
          <t>Closure_Model tab, 2,916-combination grid</t>
        </is>
      </c>
    </row>
    <row r="48">
      <c r="A48" s="3" t="inlineStr">
        <is>
          <t>Closure model best case (v3.9 favorable tail)</t>
        </is>
      </c>
      <c r="B48" s="8" t="n">
        <v>551928</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(v3.9 central case, $69,071,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(v3.9): at the +$551,928 best case FY2029 ends near $1.4M; at the +$21,571 median the reserves are gone on essentially the status-quo schedule; in the 45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21571/Assumptions!B11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2026-07-29T18:36:46Z</dcterms:created>
  <dcterms:modified xmlns:dcterms="http://purl.org/dc/terms/" xmlns:xsi="http://www.w3.org/2001/XMLSchema-instance" xsi:type="dcterms:W3CDTF">2026-07-29T18:36:46Z</dcterms:modified>
</cp:coreProperties>
</file>