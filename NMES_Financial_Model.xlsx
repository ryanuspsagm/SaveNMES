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Growth_Model" sheetId="6" state="visible" r:id="rId6"/>
    <sheet xmlns:r="http://schemas.openxmlformats.org/officeDocument/2006/relationships" name="Redistricting" sheetId="7" state="visible" r:id="rId7"/>
    <sheet xmlns:r="http://schemas.openxmlformats.org/officeDocument/2006/relationships" name="Transport_Geo" sheetId="8" state="visible" r:id="rId8"/>
    <sheet xmlns:r="http://schemas.openxmlformats.org/officeDocument/2006/relationships" name="Alternatives" sheetId="9" state="visible" r:id="rId9"/>
    <sheet xmlns:r="http://schemas.openxmlformats.org/officeDocument/2006/relationships" name="Debt_Service" sheetId="10" state="visible" r:id="rId10"/>
    <sheet xmlns:r="http://schemas.openxmlformats.org/officeDocument/2006/relationships" name="Runway" sheetId="11" state="visible" r:id="rId11"/>
    <sheet xmlns:r="http://schemas.openxmlformats.org/officeDocument/2006/relationships" name="Scenarios" sheetId="12" state="visible" r:id="rId12"/>
    <sheet xmlns:r="http://schemas.openxmlformats.org/officeDocument/2006/relationships" name="Tax_History" sheetId="13" state="visible" r:id="rId13"/>
    <sheet xmlns:r="http://schemas.openxmlformats.org/officeDocument/2006/relationships" name="Demographics" sheetId="14" state="visible" r:id="rId14"/>
    <sheet xmlns:r="http://schemas.openxmlformats.org/officeDocument/2006/relationships" name="School_Data" sheetId="15" state="visible" r:id="rId15"/>
    <sheet xmlns:r="http://schemas.openxmlformats.org/officeDocument/2006/relationships" name="Facility_Plans" sheetId="16" state="visible" r:id="rId16"/>
    <sheet xmlns:r="http://schemas.openxmlformats.org/officeDocument/2006/relationships" name="KY_Closures" sheetId="17" state="visible" r:id="rId17"/>
    <sheet xmlns:r="http://schemas.openxmlformats.org/officeDocument/2006/relationships" name="School_Costs" sheetId="18" state="visible" r:id="rId18"/>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(v4.6,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leaver table, both calculator defaults, the plan floor/default/top, Eminence, the ledger breakevens) as live formulas: Defaults tab.</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0"/>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2025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WHAT LEAVING FAMILIES COST (the published table, all four rows)</t>
        </is>
      </c>
    </row>
    <row r="23">
      <c r="A23" s="3" t="inlineStr">
        <is>
          <t>Per-leaver funding: SEEK base + typical add-ons</t>
        </is>
      </c>
      <c r="B23" s="9">
        <f>Assumptions!B6+500</f>
        <v/>
      </c>
      <c r="F23" s="2" t="inlineStr">
        <is>
          <t>$5,126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current 128 students: grade counts (K-5) x years to grade 12</t>
        </is>
      </c>
      <c r="B30" s="10" t="n">
        <v>22</v>
      </c>
      <c r="C30" s="10" t="n">
        <v>22</v>
      </c>
      <c r="D30" s="10" t="n">
        <v>19</v>
      </c>
      <c r="E30" s="10" t="n">
        <v>22</v>
      </c>
      <c r="F30" s="10" t="n">
        <v>16</v>
      </c>
      <c r="G30" s="10" t="n">
        <v>27</v>
      </c>
    </row>
    <row r="31">
      <c r="A31" s="3" t="inlineStr">
        <is>
          <t>Student-years, and the carried band at the $4,626 base / $5,126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district staffing stance + our mid-range leaver and busing estimates</t>
        </is>
      </c>
      <c r="B34" s="19">
        <f>B17+C17-63000-38*(Assumptions!B6+500)</f>
        <v/>
      </c>
      <c r="F34" s="21">
        <f> $127,039 kept, minus $63,000 of busing, minus 38 leavers (30 percent) at $5,126: the published -$130,749, the 26th percentile of the 5,832-scenario grid; the weighted median is a $20,007 loss (Closure_Model row 50)</f>
        <v/>
      </c>
    </row>
    <row r="35">
      <c r="A35" s="3" t="inlineStr">
        <is>
          <t>Growth default: 30 added students at the grid's low busing and supplies</t>
        </is>
      </c>
      <c r="B35" s="19">
        <f>30*(Assumptions!B6+500-400)</f>
        <v/>
      </c>
      <c r="F35" s="21" t="inlineStr">
        <is>
          <t>The published +$141,780, the weighted median of the 19,683-scenario grid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$4,226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$1,662,575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$4,226)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at that burn rate</t>
        </is>
      </c>
      <c r="B77" s="24">
        <f>B73/B75</f>
        <v/>
      </c>
      <c r="C77" s="24">
        <f>C73/C75</f>
        <v/>
      </c>
      <c r="F77" s="21" t="inlineStr">
        <is>
          <t>Published: Bourbon roughly three and a half years of cushion at its current burn; Fayette under two years on its audited books, and nearer none on Weaver's unaudited view, which is why it approved borrowing up to $95 million to reach fall tax collections.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5,832-scenario grid at row 37, median a $20,007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170 to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19">
        <f>C39+C40+C41*54479.4-C42-C43*(Assumptions!B6+C44)-C45</f>
        <v/>
      </c>
      <c r="C47" s="2" t="inlineStr">
        <is>
          <t>$52,514: about 2.0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+$484,582 a year: the grid's best case (every lever at its closure-friendliest), still below the plan's $800K-$1M requirement</t>
        </is>
      </c>
    </row>
    <row r="50">
      <c r="A50" s="21" t="inlineStr">
        <is>
          <t>Distribution of all 5,832 combinations enumerated by build/closure_grid.py: capture, fixed-position, add-ons, property and busing levers take three values each, teachers four (0/1/2/3) and leavers six (0/13/26/38/51/64): 3^5 x 4 x 6 = 5,832. v4.5 lever weights: triangular 1-2-1 on the five levers with a documented central setting; uniform on teachers and leavers, where the record gives no defensible center. Weighted median -$20,007 (the median scenario LOSES money); middle half -$137,095 to +$98,603; 55 percent of weighted scenarios negative; range -$591,545 to +$484,582 (unweighted median -$24,431). v4.5 MUNIS pass: the fixed-position lever now uses FY2026 actuals from the district's own ledger ($214,104) instead of working-budget lines ($218,154).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+$141,780; middle half +$94,520 to +$182,654; floor +$3,331; ceiling +$386,904;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$591,545 to plus $484,582 with a weighted median of minus $20,007,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later corroborated as 2023-24 SAAR in the 2026 draft plan,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$4,226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-$20,007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275 of 550 leakage students recovered (275 x $4,226 = $1,162,150)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$422,600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($52,514); the weighted median itself is negative (-$20,007)</t>
        </is>
      </c>
    </row>
    <row r="47">
      <c r="A47" s="3" t="inlineStr">
        <is>
          <t>Closure model median (v4.5 weighted grid)</t>
        </is>
      </c>
      <c r="B47" s="8" t="n">
        <v>-20007</v>
      </c>
      <c r="C47" s="9">
        <f>B47*(1-(1+B$40)^-B$41)/B$40</f>
        <v/>
      </c>
      <c r="F47" s="21" t="inlineStr">
        <is>
          <t>Closure_Model tab, 5,832-combination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(v4.5): at the +$484,582 best case FY2029 ends near $1.2M; at the -$20,007 weighted median the reserves go slightly FASTER than status quo; 55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-20007</v>
      </c>
      <c r="C6" s="9">
        <f>Runway!E7</f>
        <v/>
      </c>
      <c r="D6" s="2" t="inlineStr">
        <is>
          <t>Unpublished</t>
        </is>
      </c>
      <c r="E6" s="2" t="inlineStr">
        <is>
          <t>Closure vote; the weighted median LOSES $20,007 a year (B6 is the grid median; the legacy single-point Closure_Model!B20 is superseded); the legacy base case covers 9.1% of the $2.65M gap, the grid central case 2.0%, and the +$484,582 best-case tail 18.3%; longer rides;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2023-24 SAAR</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19">
        <f>800000/Assumptions!B11</f>
        <v/>
      </c>
      <c r="C34" s="19">
        <f>1000000/Assumptions!B11</f>
        <v/>
      </c>
    </row>
    <row r="35">
      <c r="A35" s="3" t="inlineStr">
        <is>
          <t>This report's own model, per displaced student: median / central / best case</t>
        </is>
      </c>
      <c r="B35" s="9">
        <f>-20007/Assumptions!B11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19">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2026-08-04T01:26:03Z</dcterms:created>
  <dcterms:modified xmlns:dcterms="http://purl.org/dc/terms/" xmlns:xsi="http://www.w3.org/2001/XMLSchema-instance" xsi:type="dcterms:W3CDTF">2026-08-04T01:26:03Z</dcterms:modified>
</cp:coreProperties>
</file>