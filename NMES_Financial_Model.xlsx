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Built from public records and</t>
        </is>
      </c>
    </row>
    <row r="28">
      <c r="A28" s="3" t="inlineStr">
        <is>
          <t>Open Records Requests only. Estimates are labeled; every figure should be re-verified against the cited primary sources before</t>
        </is>
      </c>
    </row>
    <row r="29">
      <c r="A29"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secretary, extended day)</t>
        </is>
      </c>
      <c r="B51" s="14" t="n">
        <v>131724</v>
      </c>
      <c r="C51" s="2" t="inlineStr">
        <is>
          <t>MEASURED v3.9: district FY2026 working budget, location 090, General Fund program 077, excl on-behalf. Was a $175,000 estimate through v3.8.</t>
        </is>
      </c>
    </row>
    <row r="52">
      <c r="A52" s="3" t="inlineStr">
        <is>
          <t>Plant operations avoided (custodial + utilities, sanitation, water)</t>
        </is>
      </c>
      <c r="B52" s="14" t="n">
        <v>96107</v>
      </c>
      <c r="C52" s="2" t="inlineStr">
        <is>
          <t>MEASURED v3.9: same source, custodial program 087 $37,333 + plant program 987 $58,774. B51+B52 = $227,831, the grid's mothballed case. Was a $115,000 estimate through v3.8.</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109077</v>
      </c>
      <c r="D40" s="8" t="n">
        <v>218154</v>
      </c>
      <c r="E40" s="2" t="inlineStr">
        <is>
          <t>Measured lines: $131,724 + $37,333 + $49,097 = $218,154 (the district's own A.1 prices the same four roles at $209,700, within 4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175 days, $3.25-$4.75/mile (KDE/NAPT band), high stop adds one $45,000 route split. Per zone student $160/$492/$1,495 vs the $1,032 district average. The district's routing data was requested and answered N/A.</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 CONSERVATIVE: this is the year-one wave only; if the same share of each entering class keeps leaving, the missing students more than double (x13/6) once every grade K-12 is short</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23">
        <f>C39+C40+C41*54479.4-C42-C43*(Assumptions!B6+C44)-C45</f>
        <v/>
      </c>
      <c r="C47" s="2" t="inlineStr">
        <is>
          <t>$54,539: about 2.1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+$488,631 a year: the district's fullest documented case, still below the plan's $800K-$1M requirement</t>
        </is>
      </c>
    </row>
    <row r="50">
      <c r="A50" s="21" t="inlineStr">
        <is>
          <t>Distribution of all 5,832 combinations, equal weights, enumerated by build/closure_grid.py: capture, fixed-position, add-ons, property and busing levers take three values each, teachers four (0/1/2/3) and leavers six (0/13/26/38/51/64): 3^5 x 4 x 6 = 5,832. Median -$21,971 (the median scenario LOSES money); middle half -$148,790 to +$102,067; 55 percent of scenarios negative; range -$591,545 to +$488,631.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1"/>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Shared services with Paris Independent</t>
        </is>
      </c>
      <c r="B11" s="8" t="n">
        <v>100000</v>
      </c>
      <c r="C11" s="8" t="n">
        <v>300000</v>
      </c>
      <c r="D11" s="2" t="inlineStr">
        <is>
          <t>Transport, food service, back office</t>
        </is>
      </c>
      <c r="E11" s="2" t="inlineStr">
        <is>
          <t>Cost reduction</t>
        </is>
      </c>
      <c r="F11" s="2" t="inlineStr">
        <is>
          <t>Low; needs an interlocal feasibility study</t>
        </is>
      </c>
    </row>
    <row r="12">
      <c r="A12" s="3" t="inlineStr">
        <is>
          <t>Fill NMES to capacity (rebalance + transfers, net)</t>
        </is>
      </c>
      <c r="B12" s="18">
        <f>Redistricting!B30</f>
        <v/>
      </c>
      <c r="C12" s="18">
        <f>Redistricting!B31</f>
        <v/>
      </c>
      <c r="D12" s="2" t="inlineStr">
        <is>
          <t>Boundary rebalancing and cross-county scenario, Redistricting tab</t>
        </is>
      </c>
      <c r="E12" s="2" t="inlineStr">
        <is>
          <t>New revenue, net of costs</t>
        </is>
      </c>
      <c r="F12" s="2" t="inlineStr">
        <is>
          <t>High; board boundary authority, math on Redistricting tab</t>
        </is>
      </c>
    </row>
    <row r="13">
      <c r="A13" s="3" t="inlineStr">
        <is>
          <t>District-wide recruitment beyond NMES's 46 seats (homeschool, private-school, nonresident incentives; v3.8)</t>
        </is>
      </c>
      <c r="B13" s="18">
        <f>25*(Assumptions!B6-Assumptions!B62)</f>
        <v/>
      </c>
      <c r="C13" s="18">
        <f>50*(Assumptions!B6-Assumptions!B62)</f>
        <v/>
      </c>
      <c r="D13" s="2" t="inlineStr">
        <is>
          <t>25-50 additional students at $4,226 net; pool measured on Redistricting rows 116-135 (259 registered homeschoolers, ACS pool ~1,135, net import already 189); 62 open seats exist at Bourbon Central's approved rating</t>
        </is>
      </c>
      <c r="E13" s="2" t="inlineStr">
        <is>
          <t>New revenue</t>
        </is>
      </c>
      <c r="F13" s="2" t="inlineStr">
        <is>
          <t>Medium; needs an enrollment marketing plan and incentive design</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1000000</v>
      </c>
    </row>
    <row r="19">
      <c r="A19" s="3" t="inlineStr">
        <is>
          <t>Conservative combined estimate, high</t>
        </is>
      </c>
      <c r="B19" s="14" t="n">
        <v>1900000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$1.5M to $2.6M; the published $1.0M to $1.9M band applies a conservative haircut for overlap and implementation risk. Medicaid and reimbursement recovery were removed from the menu in v4.2 review. Coverage is reported against both yardsticks: the $2.65M structural gap before transfers and the roughly $1.15M net drawdown after transfers (Closure_Model rows 21 and 35 carry both for closure).</t>
        </is>
      </c>
    </row>
    <row r="26">
      <c r="A26" s="4" t="inlineStr">
        <is>
          <t>THE GROWTH PATH: THE SAME MENU AS A DISTRICT-WIDE RECOVERY PLAN (v3.8; backs the site card and Section 9)</t>
        </is>
      </c>
    </row>
    <row r="27">
      <c r="A27" s="3" t="inlineStr">
        <is>
          <t>Move 1: inspect fixed costs (every non-teaching position via attrition, administrative restructuring, transport, energy, shared services)</t>
        </is>
      </c>
      <c r="B27" s="23">
        <f>SUM(B7:B11)</f>
        <v/>
      </c>
      <c r="C27" s="23">
        <f>SUM(C7:C11)</f>
        <v/>
      </c>
    </row>
    <row r="28">
      <c r="A28" s="3" t="inlineStr">
        <is>
          <t>Move 2: grow enrollment instead of shrinking it (attendance recovery, fill NMES, district-wide recruitment)</t>
        </is>
      </c>
      <c r="B28" s="23">
        <f>B6+B12+B13</f>
        <v/>
      </c>
      <c r="C28" s="23">
        <f>C6+C12+C13</f>
        <v/>
      </c>
    </row>
    <row r="29">
      <c r="A29" s="3" t="inlineStr">
        <is>
          <t>Move 3: the honest revenue conversation, year one (4 percent option plus delinquency; compounds by year three; recallable menu beyond it on Tax_History rows 70-91)</t>
        </is>
      </c>
      <c r="B29" s="23">
        <f>B4+B5</f>
        <v/>
      </c>
      <c r="C29" s="23">
        <f>C4+C5</f>
        <v/>
      </c>
    </row>
    <row r="30">
      <c r="A30" s="3" t="inlineStr">
        <is>
          <t>Growth plan total (equals the raw sum above; the published band is the conservative cut of the same rows)</t>
        </is>
      </c>
      <c r="B30" s="23">
        <f>B27+B28+B29</f>
        <v/>
      </c>
      <c r="C30" s="23">
        <f>C27+C28+C29</f>
        <v/>
      </c>
    </row>
    <row r="31">
      <c r="A31"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v4.2 closure model's central case ($54,539); the v4.2 median itself is negative (-$21,971)</t>
        </is>
      </c>
    </row>
    <row r="47">
      <c r="A47" s="3" t="inlineStr">
        <is>
          <t>Closure model median (v4.2 two-tailed grid)</t>
        </is>
      </c>
      <c r="B47" s="8" t="n">
        <v>-21971</v>
      </c>
      <c r="C47" s="9">
        <f>B47*(1-(1+B$40)^-B$41)/B$40</f>
        <v/>
      </c>
      <c r="F47" s="21" t="inlineStr">
        <is>
          <t>Closure_Model tab, 5,832-combination grid; the median scenario loses money</t>
        </is>
      </c>
    </row>
    <row r="48">
      <c r="A48" s="3" t="inlineStr">
        <is>
          <t>Closure model best case (v4.2 favorable tail)</t>
        </is>
      </c>
      <c r="B48" s="8" t="n">
        <v>488631</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B6-GF_Summary!$D$16+0.5*Alternatives!$B$20</f>
        <v/>
      </c>
      <c r="D6" s="9">
        <f>C6-GF_Summary!$D$16+Alternatives!$B$20</f>
        <v/>
      </c>
      <c r="E6" s="9">
        <f>D6-GF_Summary!$D$16+Alternatives!$B$20</f>
        <v/>
      </c>
    </row>
    <row r="7">
      <c r="A7" s="3" t="inlineStr">
        <is>
          <t>Closure only (v4.2 central case, $54,539,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(v4.2): at the +$488,631 best case FY2029 ends near $1.2M; at the -$21,971 median the reserves go slightly FASTER than status quo; 55 percent of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Alternatives!B20</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0">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17" t="inlineStr">
        <is>
          <t>Assessment growth</t>
        </is>
      </c>
      <c r="B98" s="17" t="inlineStr">
        <is>
          <t>Compensating rate</t>
        </is>
      </c>
      <c r="C98" s="17" t="inlineStr">
        <is>
          <t>4 percent option</t>
        </is>
      </c>
      <c r="D98" s="17" t="inlineStr">
        <is>
          <t>Rate raised 4 percent</t>
        </is>
      </c>
      <c r="E98" s="17" t="inlineStr">
        <is>
          <t>Revenue at 4 percent option</t>
        </is>
      </c>
      <c r="F98" s="17" t="inlineStr">
        <is>
          <t>Revenue at rate x 1.04</t>
        </is>
      </c>
      <c r="G98" s="17" t="inlineStr">
        <is>
          <t>Above the ceiling, recallable</t>
        </is>
      </c>
    </row>
    <row r="99">
      <c r="A99" s="36" t="n">
        <v>0</v>
      </c>
      <c r="B99" s="30">
        <f>$B$95/(1+A99)</f>
        <v/>
      </c>
      <c r="C99" s="30">
        <f>B99*1.04</f>
        <v/>
      </c>
      <c r="D99" s="30">
        <f>$B$95*1.04</f>
        <v/>
      </c>
      <c r="E99" s="9">
        <f>$B$94*(1+A99)*C99/100/100</f>
        <v/>
      </c>
      <c r="F99" s="9">
        <f>$B$94*(1+A99)*D99/100/100</f>
        <v/>
      </c>
      <c r="G99" s="23">
        <f>F99-E99</f>
        <v/>
      </c>
    </row>
    <row r="100">
      <c r="A100" s="36" t="n">
        <v>0.03</v>
      </c>
      <c r="B100" s="30">
        <f>$B$95/(1+A100)</f>
        <v/>
      </c>
      <c r="C100" s="30">
        <f>B100*1.04</f>
        <v/>
      </c>
      <c r="D100" s="30">
        <f>$B$95*1.04</f>
        <v/>
      </c>
      <c r="E100" s="9">
        <f>$B$94*(1+A100)*C100/100/100</f>
        <v/>
      </c>
      <c r="F100" s="9">
        <f>$B$94*(1+A100)*D100/100/100</f>
        <v/>
      </c>
      <c r="G100" s="23">
        <f>F100-E100</f>
        <v/>
      </c>
    </row>
    <row r="101">
      <c r="A101" s="36" t="n">
        <v>0.05</v>
      </c>
      <c r="B101" s="30">
        <f>$B$95/(1+A101)</f>
        <v/>
      </c>
      <c r="C101" s="30">
        <f>B101*1.04</f>
        <v/>
      </c>
      <c r="D101" s="30">
        <f>$B$95*1.04</f>
        <v/>
      </c>
      <c r="E101" s="9">
        <f>$B$94*(1+A101)*C101/100/100</f>
        <v/>
      </c>
      <c r="F101" s="9">
        <f>$B$94*(1+A101)*D101/100/100</f>
        <v/>
      </c>
      <c r="G101" s="23">
        <f>F101-E101</f>
        <v/>
      </c>
    </row>
    <row r="102">
      <c r="A102" s="36" t="n">
        <v>0.07000000000000001</v>
      </c>
      <c r="B102" s="30">
        <f>$B$95/(1+A102)</f>
        <v/>
      </c>
      <c r="C102" s="30">
        <f>B102*1.04</f>
        <v/>
      </c>
      <c r="D102" s="30">
        <f>$B$95*1.04</f>
        <v/>
      </c>
      <c r="E102" s="9">
        <f>$B$94*(1+A102)*C102/100/100</f>
        <v/>
      </c>
      <c r="F102" s="9">
        <f>$B$94*(1+A102)*D102/100/100</f>
        <v/>
      </c>
      <c r="G102" s="23">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29" t="n">
        <v>49.2</v>
      </c>
    </row>
    <row r="110">
      <c r="A110" s="3" t="inlineStr">
        <is>
          <t>Total levied rate, tax year 2023 (held at 52.4 for three years since)</t>
        </is>
      </c>
      <c r="B110" s="29" t="n">
        <v>52.4</v>
      </c>
    </row>
    <row r="111">
      <c r="A111" s="3" t="inlineStr">
        <is>
          <t>Net change</t>
        </is>
      </c>
      <c r="B111" s="35">
        <f>B110-B109</f>
        <v/>
      </c>
    </row>
    <row r="112">
      <c r="A112" s="3" t="inlineStr">
        <is>
          <t>Recallable facilities nickel levied 8/17/2023 (KDE levied-rates file, current year)</t>
        </is>
      </c>
      <c r="B112" s="29" t="n">
        <v>5.7</v>
      </c>
    </row>
    <row r="113">
      <c r="A113" s="3" t="inlineStr">
        <is>
          <t>Implied change in the rest of the rate</t>
        </is>
      </c>
      <c r="B113" s="37">
        <f>B111-B112</f>
        <v/>
      </c>
    </row>
    <row r="114">
      <c r="A114" s="3" t="inlineStr">
        <is>
          <t>Implied annual change in unrestricted revenue</t>
        </is>
      </c>
      <c r="B114" s="23">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8"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9">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40" t="n">
        <v>0.887637</v>
      </c>
      <c r="C67" s="40" t="n">
        <v>0.819273</v>
      </c>
      <c r="D67" s="40" t="n">
        <v>0.823017</v>
      </c>
      <c r="E67" s="8" t="n">
        <v>4006243.38</v>
      </c>
      <c r="F67" s="8" t="n">
        <v>22636266.8</v>
      </c>
    </row>
    <row r="68">
      <c r="A68" s="3" t="inlineStr">
        <is>
          <t>Cane Ridge Elementary (1992)</t>
        </is>
      </c>
      <c r="B68" s="40" t="n">
        <v>0.8120579999999999</v>
      </c>
      <c r="C68" s="40" t="n">
        <v>0.811765</v>
      </c>
      <c r="D68" s="40" t="n">
        <v>0.728249</v>
      </c>
      <c r="E68" s="8" t="n">
        <v>4796308</v>
      </c>
      <c r="F68" s="8" t="n">
        <v>17649638.79</v>
      </c>
    </row>
    <row r="69">
      <c r="A69" s="3" t="inlineStr">
        <is>
          <t>North Middletown Elementary (1948/64)</t>
        </is>
      </c>
      <c r="B69" s="40" t="n">
        <v>0.694064</v>
      </c>
      <c r="C69" s="40" t="n">
        <v>0.702133</v>
      </c>
      <c r="D69" s="40" t="n">
        <v>0.773295</v>
      </c>
      <c r="E69" s="8" t="n">
        <v>3099147.93</v>
      </c>
      <c r="F69" s="8" t="n">
        <v>13670417.6</v>
      </c>
    </row>
    <row r="70">
      <c r="A70" s="3" t="inlineStr">
        <is>
          <t>Bourbon County Middle School (1948)</t>
        </is>
      </c>
      <c r="B70" s="40" t="n">
        <v>0.726249</v>
      </c>
      <c r="C70" s="40" t="n">
        <v>0.727501</v>
      </c>
      <c r="D70" s="40" t="n">
        <v>0.596145</v>
      </c>
      <c r="E70" s="8" t="n">
        <v>12167086.72</v>
      </c>
      <c r="F70" s="8" t="n">
        <v>30127350</v>
      </c>
    </row>
    <row r="71">
      <c r="A71" s="3" t="inlineStr">
        <is>
          <t>Bourbon County High School (1968)</t>
        </is>
      </c>
      <c r="B71" s="40" t="n">
        <v>0.809819</v>
      </c>
      <c r="C71" s="40" t="n">
        <v>0.802057</v>
      </c>
      <c r="D71" s="40" t="n">
        <v>0.792529</v>
      </c>
      <c r="E71" s="8" t="n">
        <v>10251532.33</v>
      </c>
      <c r="F71" s="8" t="n">
        <v>49411909.14</v>
      </c>
    </row>
    <row r="72">
      <c r="A72" s="3" t="inlineStr">
        <is>
          <t>Check: Condition Index = 1 - (4-year renewal needs / replacement value), NMES</t>
        </is>
      </c>
      <c r="B72" s="41">
        <f>1-E69/F69</f>
        <v/>
      </c>
    </row>
    <row r="73">
      <c r="A73" s="3" t="inlineStr">
        <is>
          <t>NMES change between inspection cycles (2020-21 to April 2026)</t>
        </is>
      </c>
      <c r="B73" s="41">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-21971/Assumptions!B11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6" t="n">
        <v>0.4</v>
      </c>
      <c r="C41" s="36"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2">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3">
        <f>B39/D39-1</f>
        <v/>
      </c>
    </row>
    <row r="40">
      <c r="A40" s="3" t="inlineStr">
        <is>
          <t>2012-13</t>
        </is>
      </c>
      <c r="B40" s="8" t="n">
        <v>19635</v>
      </c>
      <c r="C40" s="10" t="n">
        <v>158</v>
      </c>
      <c r="D40" s="8" t="n">
        <v>10281</v>
      </c>
      <c r="E40" s="8" t="n">
        <v>11383</v>
      </c>
      <c r="F40" s="43">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3">
        <f>B41/D41-1</f>
        <v/>
      </c>
    </row>
    <row r="42">
      <c r="A42" s="3" t="inlineStr">
        <is>
          <t>2014-15</t>
        </is>
      </c>
      <c r="B42" s="8" t="n">
        <v>10999</v>
      </c>
      <c r="C42" s="10" t="n">
        <v>153</v>
      </c>
      <c r="D42" s="8" t="n">
        <v>8651</v>
      </c>
      <c r="E42" s="8" t="n">
        <v>9222</v>
      </c>
      <c r="F42" s="43">
        <f>B42/D42-1</f>
        <v/>
      </c>
    </row>
    <row r="43">
      <c r="A43" s="3" t="inlineStr">
        <is>
          <t>2015-16</t>
        </is>
      </c>
      <c r="B43" s="8" t="n">
        <v>11521</v>
      </c>
      <c r="C43" s="10" t="n">
        <v>149</v>
      </c>
      <c r="D43" s="8" t="n">
        <v>8705</v>
      </c>
      <c r="E43" s="8" t="n">
        <v>9655</v>
      </c>
      <c r="F43" s="43">
        <f>B43/D43-1</f>
        <v/>
      </c>
    </row>
    <row r="44">
      <c r="A44" s="3" t="inlineStr">
        <is>
          <t>2016-17</t>
        </is>
      </c>
      <c r="B44" s="8" t="n">
        <v>13260</v>
      </c>
      <c r="C44" s="10" t="n">
        <v>133</v>
      </c>
      <c r="D44" s="8" t="n">
        <v>9197</v>
      </c>
      <c r="E44" s="8" t="n">
        <v>9815</v>
      </c>
      <c r="F44" s="43">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4">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4">
        <f>1/B50</f>
        <v/>
      </c>
    </row>
    <row r="51">
      <c r="A51" s="3" t="inlineStr">
        <is>
          <t>North Middletown</t>
        </is>
      </c>
      <c r="B51" s="10" t="n">
        <v>193</v>
      </c>
      <c r="C51" s="8" t="n">
        <v>4414</v>
      </c>
      <c r="D51" s="9">
        <f>B$55+B$54*E51</f>
        <v/>
      </c>
      <c r="E51" s="44">
        <f>1/B51</f>
        <v/>
      </c>
    </row>
    <row r="52">
      <c r="A52" s="3" t="inlineStr">
        <is>
          <t>Millersburg</t>
        </is>
      </c>
      <c r="B52" s="10" t="n">
        <v>145</v>
      </c>
      <c r="C52" s="8" t="n">
        <v>5200</v>
      </c>
      <c r="D52" s="9">
        <f>B$55+B$54*E52</f>
        <v/>
      </c>
      <c r="E52" s="44">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5">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2026-08-01T20:02:21Z</dcterms:created>
  <dcterms:modified xmlns:dcterms="http://purl.org/dc/terms/" xmlns:xsi="http://www.w3.org/2001/XMLSchema-instance" xsi:type="dcterms:W3CDTF">2026-08-01T20:02:21Z</dcterms:modified>
</cp:coreProperties>
</file>