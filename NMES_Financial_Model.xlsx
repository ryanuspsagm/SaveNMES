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GF_Summary" sheetId="3" state="visible" r:id="rId5"/>
    <sheet name="Closure_Model" sheetId="4" state="visible" r:id="rId6"/>
    <sheet name="Growth_Model" sheetId="5" state="visible" r:id="rId7"/>
    <sheet name="Alternatives" sheetId="6" state="visible" r:id="rId8"/>
    <sheet name="Debt_Service" sheetId="7" state="visible" r:id="rId9"/>
    <sheet name="Runway" sheetId="8" state="visible" r:id="rId10"/>
    <sheet name="Tax_History" sheetId="9" state="visible" r:id="rId11"/>
    <sheet name="Demographics" sheetId="10" state="visible" r:id="rId12"/>
    <sheet name="School_Dat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<sst xmlns="http://schemas.openxmlformats.org/spreadsheetml/2006/main" count="474" uniqueCount="405">
  <si>
    <t xml:space="preserve">Saving North Middletown Elementary School — Financial Model</t>
  </si>
  <si>
    <t xml:space="preserve">Companion workbook to the July 2026 report 'A Deep Dive into Bourbon County Schools' (Bourbon County, Kentucky)</t>
  </si>
  <si>
    <t xml:space="preserve">PURPOSE</t>
  </si>
  <si>
    <t xml:space="preserve">This workbook backs up every calculation in the PDF report: the district's three-year General Fund picture, the net-savings test of the</t>
  </si>
  <si>
    <t xml:space="preserve">closure proposal, the 'grow the Kings' nonresident-enrollment model, the alternatives menu, the bond schedule, and a reserve-runway</t>
  </si>
  <si>
    <t xml:space="preserve">projection. Every output is a live formula; change the blue inputs or yellow judgment cells and the model recalculates.</t>
  </si>
  <si>
    <t xml:space="preserve">HOW TO READ THE CELLS</t>
  </si>
  <si>
    <t xml:space="preserve">  Blue text  = a hardcoded input you can edit (audited figures, state data, or scenario levers; source noted alongside).</t>
  </si>
  <si>
    <t xml:space="preserve">  Black text = a formula. Do not overwrite.</t>
  </si>
  <si>
    <t xml:space="preserve">  Green text = a value pulled from another sheet in this workbook.</t>
  </si>
  <si>
    <t xml:space="preserve">  Yellow fill = a key judgment call or estimate the district should replace with actual data. Review these first.</t>
  </si>
  <si>
    <t xml:space="preserve">SOURCES (full citations in the PDF report)</t>
  </si>
  <si>
    <t xml:space="preserve">  Audited figures: Bourbon County School District audited financial statements, FY2023-24 and FY2024-25 (posted by KDE).</t>
  </si>
  <si>
    <t xml:space="preserve">  Per-pupil spending: Kentucky School Report Card school-level (ESSA) expenditure data, 2023-24.</t>
  </si>
  <si>
    <t xml:space="preserve">  SEEK base amounts: Kentucky 2024-2026 and 2026-2028 state budgets. Enrollment/capacity: NCES; 2021 KBE-approved facility plan.</t>
  </si>
  <si>
    <t xml:space="preserve">  Multi-year school scores and NMES enrollment history: School_Data tab (backs report Figures 6, 7, and 11).</t>
  </si>
  <si>
    <t xml:space="preserve">  County demographics and the full 1989-2025 NMES enrollment series: Demographics tab (backs Section 9 and Figure 11).</t>
  </si>
  <si>
    <t xml:space="preserve">  Tax rates, fund split, delinquency check, and the 4% three-year path: Tax_History tab (backs Figure 13).</t>
  </si>
  <si>
    <t xml:space="preserve">CAVEAT</t>
  </si>
  <si>
    <t xml:space="preserve">Prepared by a former NMES King working alongside Fable 5, an AI research assistant from Anthropic. Estimates are labeled; every figure</t>
  </si>
  <si>
    <t xml:space="preserve">should be re-verified against the cited primary sources before formal use. Nothing here alleges misconduct by any official.</t>
  </si>
  <si>
    <t xml:space="preserve">Assumptions &amp; Inputs</t>
  </si>
  <si>
    <t xml:space="preserve">Edit blue cells. Yellow cells are judgment calls/estimates — the district should replace them with actuals.</t>
  </si>
  <si>
    <t xml:space="preserve">STATE FUNDING (SEEK base guarantee per pupil)</t>
  </si>
  <si>
    <t xml:space="preserve">SEEK base, FY2026</t>
  </si>
  <si>
    <t xml:space="preserve">2024-2026 KY budget (HB 6); KDE SEEK files</t>
  </si>
  <si>
    <t xml:space="preserve">SEEK base, FY2027</t>
  </si>
  <si>
    <t xml:space="preserve">2026-2028 KY budget (HB 500)</t>
  </si>
  <si>
    <t xml:space="preserve">SEEK base, FY2028</t>
  </si>
  <si>
    <t xml:space="preserve">SEEK base, FY2029 (held flat at FY2028)</t>
  </si>
  <si>
    <t xml:space="preserve">Assumption</t>
  </si>
  <si>
    <t xml:space="preserve">NORTH MIDDLETOWN ELEMENTARY</t>
  </si>
  <si>
    <t xml:space="preserve">Enrollment, 2024-25</t>
  </si>
  <si>
    <t xml:space="preserve">NCES CCD official count. Supt. has said 'around 100'; a '118' figure could not be verified in any official record</t>
  </si>
  <si>
    <t xml:space="preserve">Rated capacity</t>
  </si>
  <si>
    <t xml:space="preserve">2021 KBE-approved District Facility Plan</t>
  </si>
  <si>
    <t xml:space="preserve">Open seats</t>
  </si>
  <si>
    <t xml:space="preserve">Per-pupil spending, total (2023-24)</t>
  </si>
  <si>
    <t xml:space="preserve">KY School Report Card, ESSA school-level data</t>
  </si>
  <si>
    <t xml:space="preserve">Per-pupil spending, state/local share</t>
  </si>
  <si>
    <t xml:space="preserve">Classroom teachers (FTE)</t>
  </si>
  <si>
    <t xml:space="preserve">NCES</t>
  </si>
  <si>
    <t xml:space="preserve">DISTRICT GENERAL FUND (audited)</t>
  </si>
  <si>
    <t xml:space="preserve">Revenues before transfers, FY2023</t>
  </si>
  <si>
    <t xml:space="preserve">FY2024 audit (comparative)</t>
  </si>
  <si>
    <t xml:space="preserve">Revenues before transfers, FY2024</t>
  </si>
  <si>
    <t xml:space="preserve">FY2024 audit</t>
  </si>
  <si>
    <t xml:space="preserve">Revenues before transfers, FY2025</t>
  </si>
  <si>
    <t xml:space="preserve">FY2025 audit</t>
  </si>
  <si>
    <t xml:space="preserve">Expenditures before transfers, FY2023</t>
  </si>
  <si>
    <t xml:space="preserve">Expenditures before transfers, FY2024</t>
  </si>
  <si>
    <t xml:space="preserve">Expenditures before transfers, FY2025</t>
  </si>
  <si>
    <t xml:space="preserve">Net transfers &amp; other sources, FY2024</t>
  </si>
  <si>
    <t xml:space="preserve">Net transfers &amp; other sources, FY2025</t>
  </si>
  <si>
    <t xml:space="preserve">Ending fund balance, FY2023</t>
  </si>
  <si>
    <t xml:space="preserve">Ending fund balance, FY2024</t>
  </si>
  <si>
    <t xml:space="preserve">Ending fund balance, FY2025</t>
  </si>
  <si>
    <t xml:space="preserve">Unassigned fund balance, FY2025</t>
  </si>
  <si>
    <t xml:space="preserve">Required contingency (share of spending)</t>
  </si>
  <si>
    <t xml:space="preserve">Kentucky 2% statutory minimum</t>
  </si>
  <si>
    <t xml:space="preserve">LOCAL REVENUE</t>
  </si>
  <si>
    <t xml:space="preserve">Property assessment, FY2025</t>
  </si>
  <si>
    <t xml:space="preserve">FY2025 audit MD&amp;A</t>
  </si>
  <si>
    <t xml:space="preserve">GF property tax collected, FY2025</t>
  </si>
  <si>
    <t xml:space="preserve">Annual levy adjustment (KRS 160.470)</t>
  </si>
  <si>
    <t xml:space="preserve">Board lever; up to 4% without recall</t>
  </si>
  <si>
    <t xml:space="preserve">Uncollected (delinquent) property tax, FY2024</t>
  </si>
  <si>
    <t xml:space="preserve">Calc yield $10,556,809 vs actual $10,168,969; ~3.7% delinquency, not foregone levy authority</t>
  </si>
  <si>
    <t xml:space="preserve">Uncollected (delinquent) property tax, FY2025</t>
  </si>
  <si>
    <t xml:space="preserve">Calc yield $9,880,143 vs actual $9,641,017; ~2.4% delinquency, not foregone levy authority</t>
  </si>
  <si>
    <t xml:space="preserve">COST STRUCTURE</t>
  </si>
  <si>
    <t xml:space="preserve">Loaded cost per certified position (est.)</t>
  </si>
  <si>
    <t xml:space="preserve">Estimate — replace with district payroll data</t>
  </si>
  <si>
    <t xml:space="preserve">Transportation expense, FY2025</t>
  </si>
  <si>
    <t xml:space="preserve">Transport optimization, low</t>
  </si>
  <si>
    <t xml:space="preserve">Estimate</t>
  </si>
  <si>
    <t xml:space="preserve">Transport optimization, high</t>
  </si>
  <si>
    <t xml:space="preserve">District administration expense, FY2023</t>
  </si>
  <si>
    <t xml:space="preserve">District administration expense, FY2025</t>
  </si>
  <si>
    <t xml:space="preserve">Administrative rollback share of 2-yr growth</t>
  </si>
  <si>
    <t xml:space="preserve">Judgment call</t>
  </si>
  <si>
    <t xml:space="preserve">Attrition positions, district-wide</t>
  </si>
  <si>
    <t xml:space="preserve">CLOSURE SCENARIO JUDGMENTS (estimates — district must replace with actuals)</t>
  </si>
  <si>
    <t xml:space="preserve">Principal &amp; office costs avoided</t>
  </si>
  <si>
    <t xml:space="preserve">Plant/utilities/insurance avoided, net of carrying cost</t>
  </si>
  <si>
    <t xml:space="preserve">Estimate — assumes building sold or repurposed</t>
  </si>
  <si>
    <t xml:space="preserve">Teaching positions truly eliminated</t>
  </si>
  <si>
    <t xml:space="preserve">Estimate — via attrition only</t>
  </si>
  <si>
    <t xml:space="preserve">Added busing cost per year</t>
  </si>
  <si>
    <t xml:space="preserve">Estimate — midpoint of $75K-$200K</t>
  </si>
  <si>
    <t xml:space="preserve">Students leaving the district on closure</t>
  </si>
  <si>
    <t xml:space="preserve">Judgment call — see sensitivity table</t>
  </si>
  <si>
    <t xml:space="preserve">One-time transition cost</t>
  </si>
  <si>
    <t xml:space="preserve">GROWTH SCENARIO (nonresident enrollment under HB 563 / KRS 157.350)</t>
  </si>
  <si>
    <t xml:space="preserve">Transfer students, Year 1 (FY2027)</t>
  </si>
  <si>
    <t xml:space="preserve">Scenario lever</t>
  </si>
  <si>
    <t xml:space="preserve">Transfer students, Year 2 (FY2028)</t>
  </si>
  <si>
    <t xml:space="preserve">Transfer students, Year 3 (FY2029)</t>
  </si>
  <si>
    <t xml:space="preserve">Scenario lever — capped at open seats in model</t>
  </si>
  <si>
    <t xml:space="preserve">Variable cost per transfer student</t>
  </si>
  <si>
    <t xml:space="preserve">Estimate — supplies/materials</t>
  </si>
  <si>
    <t xml:space="preserve">Added teacher once transfers exceed</t>
  </si>
  <si>
    <t xml:space="preserve">DISTRICT-FAVORABLE CLOSURE CASE (red-team upper bound)</t>
  </si>
  <si>
    <t xml:space="preserve">Positions eliminated, favorable case</t>
  </si>
  <si>
    <t xml:space="preserve">Upper bound tested in Closure_Model</t>
  </si>
  <si>
    <t xml:space="preserve">Added busing, favorable (low) case</t>
  </si>
  <si>
    <t xml:space="preserve">Low end of the $75K-$200K range</t>
  </si>
  <si>
    <t xml:space="preserve">General Fund, Three-Year Summary (audited)</t>
  </si>
  <si>
    <t xml:space="preserve">FY2023</t>
  </si>
  <si>
    <t xml:space="preserve">FY2024</t>
  </si>
  <si>
    <t xml:space="preserve">FY2025</t>
  </si>
  <si>
    <t xml:space="preserve">Revenues before transfers</t>
  </si>
  <si>
    <t xml:space="preserve">Expenditures before transfers</t>
  </si>
  <si>
    <t xml:space="preserve">Operating result before transfers</t>
  </si>
  <si>
    <t xml:space="preserve">Net transfers &amp; other sources</t>
  </si>
  <si>
    <t xml:space="preserve">Change in fund balance</t>
  </si>
  <si>
    <t xml:space="preserve">Ending fund balance</t>
  </si>
  <si>
    <t xml:space="preserve">Check vs audited balances (small residual = other audited items)</t>
  </si>
  <si>
    <t xml:space="preserve">METRICS</t>
  </si>
  <si>
    <t xml:space="preserve">Fund balance as % of expenditures, FY2025</t>
  </si>
  <si>
    <t xml:space="preserve">2% contingency floor (FY2025 spending)</t>
  </si>
  <si>
    <t xml:space="preserve">Unassigned balance above the floor</t>
  </si>
  <si>
    <t xml:space="preserve">Average annual drawdown (FY2024-25)</t>
  </si>
  <si>
    <t xml:space="preserve">Years of runway at current pace</t>
  </si>
  <si>
    <t xml:space="preserve">Source: FY2023-24 and FY2024-25 audited financial statements. FY2023 shown as reported in the FY2024 audit's comparative statement.</t>
  </si>
  <si>
    <t xml:space="preserve">Closure of NMES: Net-Savings Test</t>
  </si>
  <si>
    <t xml:space="preserve">Gross site cost is not net saving — students, teachers, and their SEEK funding move to receiving schools.</t>
  </si>
  <si>
    <t xml:space="preserve">THE CLAIM AND THE OFFICIAL DATA</t>
  </si>
  <si>
    <t xml:space="preserve">Superintendent's stated gross cost (public statement, not yet documented)</t>
  </si>
  <si>
    <t xml:space="preserve">WKYT, July 2026 — treated as a claim to verify</t>
  </si>
  <si>
    <t xml:space="preserve">Total site spending (state ESSA basis)</t>
  </si>
  <si>
    <t xml:space="preserve">State/local share of site spending</t>
  </si>
  <si>
    <t xml:space="preserve">RECURRING SAVINGS (costs that truly disappear)</t>
  </si>
  <si>
    <t xml:space="preserve">Principal &amp; office</t>
  </si>
  <si>
    <t xml:space="preserve">Plant, utilities, insurance (net of carrying cost)</t>
  </si>
  <si>
    <t xml:space="preserve">Teaching positions eliminated (via attrition)</t>
  </si>
  <si>
    <t xml:space="preserve">Gross avoidable cost</t>
  </si>
  <si>
    <t xml:space="preserve">RECURRING OFFSETS (new costs and lost revenue)</t>
  </si>
  <si>
    <t xml:space="preserve">Added busing</t>
  </si>
  <si>
    <t xml:space="preserve">SEEK revenue lost to departing students (FY2027 base)</t>
  </si>
  <si>
    <t xml:space="preserve">Total offsets</t>
  </si>
  <si>
    <t xml:space="preserve">NET RECURRING GENERAL FUND SAVING</t>
  </si>
  <si>
    <t xml:space="preserve">As a share of the FY2025 structural deficit</t>
  </si>
  <si>
    <t xml:space="preserve">One-time transition cost (year one)</t>
  </si>
  <si>
    <t xml:space="preserve">SENSITIVITY: STUDENTS LEAVING THE DISTRICT</t>
  </si>
  <si>
    <t xml:space="preserve">Students leaving</t>
  </si>
  <si>
    <t xml:space="preserve">Net recurring saving</t>
  </si>
  <si>
    <t xml:space="preserve">Each departing student removes at least the SEEK base guarantee, every year, permanently.</t>
  </si>
  <si>
    <t xml:space="preserve">DISTRICT-FAVORABLE CASE (red-team): 5 positions cut, low busing, no departures</t>
  </si>
  <si>
    <t xml:space="preserve">Net recurring saving, favorable case</t>
  </si>
  <si>
    <t xml:space="preserve">Grow the Kings: Nonresident Enrollment Model (HB 563 / KRS 157.350)</t>
  </si>
  <si>
    <t xml:space="preserve">SEEK funding follows nonresident students since July 2022; no agreement from the home district is required.</t>
  </si>
  <si>
    <t xml:space="preserve">FY2027</t>
  </si>
  <si>
    <t xml:space="preserve">FY2028</t>
  </si>
  <si>
    <t xml:space="preserve">FY2029</t>
  </si>
  <si>
    <t xml:space="preserve">Transfer students (scenario)</t>
  </si>
  <si>
    <t xml:space="preserve">Enrolled (capped at open seats)</t>
  </si>
  <si>
    <t xml:space="preserve">SEEK base per pupil</t>
  </si>
  <si>
    <t xml:space="preserve">New SEEK revenue (base only)</t>
  </si>
  <si>
    <t xml:space="preserve">Variable cost of added students</t>
  </si>
  <si>
    <t xml:space="preserve">Added teacher (once threshold passed)</t>
  </si>
  <si>
    <t xml:space="preserve">Net new recurring revenue</t>
  </si>
  <si>
    <t xml:space="preserve">Cumulative</t>
  </si>
  <si>
    <t xml:space="preserve">Upside excluded from this model: tuition, SEEK add-on weights, preschool and day-care expansion, and in-county boundary redistricting, which fills seats with students the district already serves.</t>
  </si>
  <si>
    <t xml:space="preserve">Context: NMES enrolled 160 students as recently as 2019-20 (see School_Data) - the growth targets restore recent history, they do not exceed it.</t>
  </si>
  <si>
    <t xml:space="preserve">Revenue and Cost Alternatives (no school closed)</t>
  </si>
  <si>
    <t xml:space="preserve">Measure</t>
  </si>
  <si>
    <t xml:space="preserve">Low ($/yr)</t>
  </si>
  <si>
    <t xml:space="preserve">High ($/yr)</t>
  </si>
  <si>
    <t xml:space="preserve">Basis</t>
  </si>
  <si>
    <t xml:space="preserve">4% property-tax adjustment (KRS 160.470)</t>
  </si>
  <si>
    <t xml:space="preserve">Low = 4% of FY2025 GF property tax; high allows base growth</t>
  </si>
  <si>
    <t xml:space="preserve">Improve delinquent-tax recovery (partial)</t>
  </si>
  <si>
    <t xml:space="preserve">25-50% of FY2025 delinquency of $239,126 (2.4% of certified yield)</t>
  </si>
  <si>
    <t xml:space="preserve">Attendance recovery (+1-2% ADA)</t>
  </si>
  <si>
    <t xml:space="preserve">Approx. SEEK value per 1% of ADA</t>
  </si>
  <si>
    <t xml:space="preserve">Attrition-based staffing alignment</t>
  </si>
  <si>
    <t xml:space="preserve">Low = positions x loaded cost</t>
  </si>
  <si>
    <t xml:space="preserve">Administrative restraint</t>
  </si>
  <si>
    <t xml:space="preserve">Low = rollback share of 2-yr district-admin growth</t>
  </si>
  <si>
    <t xml:space="preserve">Transportation optimization</t>
  </si>
  <si>
    <t xml:space="preserve">5-10% of FY2025 transport expense</t>
  </si>
  <si>
    <t xml:space="preserve">Medicaid billing, E-rate, meal reimbursements</t>
  </si>
  <si>
    <t xml:space="preserve">Typical under-collected federal reimbursements</t>
  </si>
  <si>
    <t xml:space="preserve">Energy performance contracting</t>
  </si>
  <si>
    <t xml:space="preserve">10-25% of utilities; authorized by 702 KAR 4:160</t>
  </si>
  <si>
    <t xml:space="preserve">Shared services with Paris Independent</t>
  </si>
  <si>
    <t xml:space="preserve">Transport, food service, back office</t>
  </si>
  <si>
    <t xml:space="preserve">Grow NMES (net, Year 1 to Year 3)</t>
  </si>
  <si>
    <t xml:space="preserve">Nonresident enrollment model, this workbook</t>
  </si>
  <si>
    <t xml:space="preserve">NMES multi-age reorganization</t>
  </si>
  <si>
    <t xml:space="preserve">Six or seven sections instead of nine, via attrition</t>
  </si>
  <si>
    <t xml:space="preserve">Total identified (ranges overlap; not additive to the penny)</t>
  </si>
  <si>
    <t xml:space="preserve">COMPARISON</t>
  </si>
  <si>
    <t xml:space="preserve">Package midpoint (raw sum of ranges)</t>
  </si>
  <si>
    <t xml:space="preserve">Conservative combined estimate, low (haircut for overlap)</t>
  </si>
  <si>
    <t xml:space="preserve">Conservative combined estimate, high</t>
  </si>
  <si>
    <t xml:space="preserve">Conservative midpoint (used in Runway sheet)</t>
  </si>
  <si>
    <t xml:space="preserve">Average annual GF drawdown (FY2024-25)</t>
  </si>
  <si>
    <t xml:space="preserve">Closure net saving (base case)</t>
  </si>
  <si>
    <t xml:space="preserve">Outstanding Bonds — Bourbon County School District Finance Corporation</t>
  </si>
  <si>
    <t xml:space="preserve">Source: FY2025 audited financial statements, Note 4. Facility funds and debt are restricted; they cannot pay operating costs.</t>
  </si>
  <si>
    <t xml:space="preserve">Series</t>
  </si>
  <si>
    <t xml:space="preserve">Original</t>
  </si>
  <si>
    <t xml:space="preserve">Rate</t>
  </si>
  <si>
    <t xml:space="preserve">Maturity</t>
  </si>
  <si>
    <t xml:space="preserve">Outstanding 6/30/25</t>
  </si>
  <si>
    <t xml:space="preserve">Note</t>
  </si>
  <si>
    <t xml:space="preserve">2013</t>
  </si>
  <si>
    <t xml:space="preserve">1.90-2.10%</t>
  </si>
  <si>
    <t xml:space="preserve">2026</t>
  </si>
  <si>
    <t xml:space="preserve">2013R</t>
  </si>
  <si>
    <t xml:space="preserve">2.75-4.05%</t>
  </si>
  <si>
    <t xml:space="preserve">2033</t>
  </si>
  <si>
    <t xml:space="preserve">Audit figures internally inconsistent; maturity typo in audit — district to correct</t>
  </si>
  <si>
    <t xml:space="preserve">2016</t>
  </si>
  <si>
    <t xml:space="preserve">1.00-3.00%</t>
  </si>
  <si>
    <t xml:space="preserve">2029</t>
  </si>
  <si>
    <t xml:space="preserve">Refunded $5,315,000 of 2009 bonds; NPV savings $314,834</t>
  </si>
  <si>
    <t xml:space="preserve">2018</t>
  </si>
  <si>
    <t xml:space="preserve">3.50%</t>
  </si>
  <si>
    <t xml:space="preserve">2038</t>
  </si>
  <si>
    <t xml:space="preserve">2020</t>
  </si>
  <si>
    <t xml:space="preserve">0.50-1.85%</t>
  </si>
  <si>
    <t xml:space="preserve">2031</t>
  </si>
  <si>
    <t xml:space="preserve">Refunded $3,410,000 of 2011 bonds; NPV savings $106,627</t>
  </si>
  <si>
    <t xml:space="preserve">2023</t>
  </si>
  <si>
    <t xml:space="preserve">3.65-4.00%</t>
  </si>
  <si>
    <t xml:space="preserve">2034</t>
  </si>
  <si>
    <t xml:space="preserve">Purpose to be confirmed from official statement</t>
  </si>
  <si>
    <t xml:space="preserve">2024</t>
  </si>
  <si>
    <t xml:space="preserve">4.00-5.00%</t>
  </si>
  <si>
    <t xml:space="preserve">2044</t>
  </si>
  <si>
    <t xml:space="preserve">Funds active construction program; purpose to be published</t>
  </si>
  <si>
    <t xml:space="preserve">Total</t>
  </si>
  <si>
    <t xml:space="preserve">ANNUAL DEBT SERVICE</t>
  </si>
  <si>
    <t xml:space="preserve">District-paid, FY2025</t>
  </si>
  <si>
    <t xml:space="preserve">District-paid, FY2026</t>
  </si>
  <si>
    <t xml:space="preserve">Increase, FY2025 to FY2026</t>
  </si>
  <si>
    <t xml:space="preserve">FY2026 total including state (SFCC) share</t>
  </si>
  <si>
    <t xml:space="preserve">SFCC-paid principal over life of bonds</t>
  </si>
  <si>
    <t xml:space="preserve">Reserve Runway: Where the Fund Balance Goes Under Each Path</t>
  </si>
  <si>
    <t xml:space="preserve">Simplified straight-line projection from the FY2025 ending balance; excludes raises, inflation, and one-time items.</t>
  </si>
  <si>
    <t xml:space="preserve">Projected ending General Fund balance</t>
  </si>
  <si>
    <t xml:space="preserve">FY2026</t>
  </si>
  <si>
    <t xml:space="preserve">Status quo (current drawdown continues)</t>
  </si>
  <si>
    <t xml:space="preserve">With alternatives package (conservative midpoint; half effect FY2027, full after)</t>
  </si>
  <si>
    <t xml:space="preserve">Closure only (base-case net saving from FY2027)</t>
  </si>
  <si>
    <t xml:space="preserve">2% contingency floor (approx., FY2025 basis)</t>
  </si>
  <si>
    <t xml:space="preserve">Reading: the alternatives package restores balance faster than closure, keeps every school open, and adds enrollment revenue rather than risking it.</t>
  </si>
  <si>
    <t xml:space="preserve">Property Tax Rates, Fund Split, Delinquency, and the 4% Option</t>
  </si>
  <si>
    <t xml:space="preserve">Backs Section 9 and Figure 13 of the report. Rates in cents per $100. DOR rate books primary for 2023-2025; 2018-2022 verified secondary; 2005-2017 not retrieved and not interpolated.</t>
  </si>
  <si>
    <t xml:space="preserve">BOURBON COUNTY SCHOOLS, REAL ESTATE RATE BY TAX YEAR</t>
  </si>
  <si>
    <t xml:space="preserve">2019 documented as the board taking the 4% option (Bourbon County Citizen, 9/4/2019); other years' rate type undetermined pending KDE levy files</t>
  </si>
  <si>
    <t xml:space="preserve">2019</t>
  </si>
  <si>
    <t xml:space="preserve">2021</t>
  </si>
  <si>
    <t xml:space="preserve">2022</t>
  </si>
  <si>
    <t xml:space="preserve">2025</t>
  </si>
  <si>
    <t xml:space="preserve">Tangible/personal rate (recent)</t>
  </si>
  <si>
    <t xml:space="preserve">Motor vehicle rate</t>
  </si>
  <si>
    <t xml:space="preserve">Utility gross receipts</t>
  </si>
  <si>
    <t xml:space="preserve">AREA DISTRICTS, LEVIED REAL ESTATE RATE 2024-25</t>
  </si>
  <si>
    <t xml:space="preserve">Fayette County</t>
  </si>
  <si>
    <t xml:space="preserve">Fayette and Clark from local reporting of board votes; others from DOR rate books. Bourbon ranks second lowest of the nine. Nicholas shown at its real estate rate of 43.1 (tangible 43.7). Bath 63.4 is the 2025 rate (2024: 60.7).</t>
  </si>
  <si>
    <t xml:space="preserve">Paris Independent</t>
  </si>
  <si>
    <t xml:space="preserve">Clark County</t>
  </si>
  <si>
    <t xml:space="preserve">Bath County</t>
  </si>
  <si>
    <t xml:space="preserve">Scott County</t>
  </si>
  <si>
    <t xml:space="preserve">Harrison County</t>
  </si>
  <si>
    <t xml:space="preserve">Montgomery County</t>
  </si>
  <si>
    <t xml:space="preserve">Bourbon County</t>
  </si>
  <si>
    <t xml:space="preserve">Nicholas County</t>
  </si>
  <si>
    <t xml:space="preserve">Statewide school average (DOR Table II, 2025)</t>
  </si>
  <si>
    <t xml:space="preserve">FY2025 PROPERTY TAX BY FUND (audited)</t>
  </si>
  <si>
    <t xml:space="preserve">General Fund</t>
  </si>
  <si>
    <t xml:space="preserve">GF vs building-fund CENT split unverified; dollar split is audited. Cent split is a records request in the report.</t>
  </si>
  <si>
    <t xml:space="preserve">Building (FSPK) and debt service funds</t>
  </si>
  <si>
    <t xml:space="preserve">Total property tax, FY2025</t>
  </si>
  <si>
    <t xml:space="preserve">General Fund property tax, FY2024</t>
  </si>
  <si>
    <t xml:space="preserve">General Fund revenue, FY2025</t>
  </si>
  <si>
    <t xml:space="preserve">General Fund deficit before transfers, FY2025</t>
  </si>
  <si>
    <t xml:space="preserve">General Fund expenditures, FY2025</t>
  </si>
  <si>
    <t xml:space="preserve">Local levy share of General Fund spending</t>
  </si>
  <si>
    <t xml:space="preserve">DELINQUENCY CHECK (collections vs certified yield)</t>
  </si>
  <si>
    <t xml:space="preserve">Calculated yield at levied rates</t>
  </si>
  <si>
    <t xml:space="preserve">Actual collections</t>
  </si>
  <si>
    <t xml:space="preserve">Gap (ordinary delinquency)</t>
  </si>
  <si>
    <t xml:space="preserve">Gap as share of yield</t>
  </si>
  <si>
    <t xml:space="preserve">FOUR PERCENT OPTION, THREE-YEAR PATH (KRS 160.470)</t>
  </si>
  <si>
    <t xml:space="preserve">Base: FY2025 actual real + personal collections</t>
  </si>
  <si>
    <t xml:space="preserve">Basis: 4% more revenue from EXISTING real + personal property than the compensating rate; new property excluded (upside); motor vehicle separate; recall applies only above 4%.</t>
  </si>
  <si>
    <t xml:space="preserve">Annual revenue option</t>
  </si>
  <si>
    <t xml:space="preserve">Year 1 added recurring revenue</t>
  </si>
  <si>
    <t xml:space="preserve">Year 2 added recurring revenue</t>
  </si>
  <si>
    <t xml:space="preserve">Year 3 added recurring revenue</t>
  </si>
  <si>
    <t xml:space="preserve">Cumulative added annual revenue by Year 3</t>
  </si>
  <si>
    <t xml:space="preserve">County Demographics and NMES Long-Run Enrollment</t>
  </si>
  <si>
    <t xml:space="preserve">An honest picture: the county is flat to declining, so the growth plan relies on redistricting and cross-county enrollment, not a population rebound.</t>
  </si>
  <si>
    <t xml:space="preserve">BOURBON COUNTY POPULATION (U.S. Census / FRED; KSDC projection)</t>
  </si>
  <si>
    <t xml:space="preserve">1970</t>
  </si>
  <si>
    <t xml:space="preserve">Sources: FRED series KYBOUR7POP; Envision 2040 plan citing the Kentucky State Data Center</t>
  </si>
  <si>
    <t xml:space="preserve">1980</t>
  </si>
  <si>
    <t xml:space="preserve">1990</t>
  </si>
  <si>
    <t xml:space="preserve">2000</t>
  </si>
  <si>
    <t xml:space="preserve">2010</t>
  </si>
  <si>
    <t xml:space="preserve">2024 est.</t>
  </si>
  <si>
    <t xml:space="preserve">2040 projection (KSDC)</t>
  </si>
  <si>
    <t xml:space="preserve">Change, 1970 to 2020</t>
  </si>
  <si>
    <t xml:space="preserve">Change as a share of 1970</t>
  </si>
  <si>
    <t xml:space="preserve">ADJACENT COUNTIES: 2020 CENSUS AND OUTLOOK</t>
  </si>
  <si>
    <t xml:space="preserve">Scott (Georgetown)</t>
  </si>
  <si>
    <t xml:space="preserve">+46.1% projected to 2050</t>
  </si>
  <si>
    <t xml:space="preserve">Fayette (Lexington)</t>
  </si>
  <si>
    <t xml:space="preserve">+9.8% projected to 2050</t>
  </si>
  <si>
    <t xml:space="preserve">Clark (Winchester)</t>
  </si>
  <si>
    <t xml:space="preserve">Slow growth</t>
  </si>
  <si>
    <t xml:space="preserve">Montgomery (Mt. Sterling)</t>
  </si>
  <si>
    <t xml:space="preserve">Harrison (Cynthiana)</t>
  </si>
  <si>
    <t xml:space="preserve">Roughly flat</t>
  </si>
  <si>
    <t xml:space="preserve">Bath</t>
  </si>
  <si>
    <t xml:space="preserve">Flat to declining</t>
  </si>
  <si>
    <t xml:space="preserve">Nicholas (Carlisle)</t>
  </si>
  <si>
    <t xml:space="preserve">Bourbon</t>
  </si>
  <si>
    <t xml:space="preserve">About -4% by 2040 (KSDC)</t>
  </si>
  <si>
    <t xml:space="preserve">NORTH MIDDLETOWN CITY POPULATION</t>
  </si>
  <si>
    <t xml:space="preserve">2010 (approx.)</t>
  </si>
  <si>
    <t xml:space="preserve">NMES ENROLLMENT, 1989-2025 (spring of school year; backs Figure 11)</t>
  </si>
  <si>
    <t xml:space="preserve">Peak enrollment (1988-89)</t>
  </si>
  <si>
    <t xml:space="preserve">1989</t>
  </si>
  <si>
    <t xml:space="preserve">2008</t>
  </si>
  <si>
    <t xml:space="preserve">1989-2014 compiled by PublicSchoolReview from federal data; 2015-2025 match NCES directly</t>
  </si>
  <si>
    <t xml:space="preserve">Latest official count (2024-25)</t>
  </si>
  <si>
    <t xml:space="preserve">2009</t>
  </si>
  <si>
    <t xml:space="preserve">Decline from peak</t>
  </si>
  <si>
    <t xml:space="preserve">1991</t>
  </si>
  <si>
    <t xml:space="preserve">Decline as a share of peak</t>
  </si>
  <si>
    <t xml:space="preserve">1992</t>
  </si>
  <si>
    <t xml:space="preserve">2011</t>
  </si>
  <si>
    <t xml:space="preserve">Current rated capacity</t>
  </si>
  <si>
    <t xml:space="preserve">1993</t>
  </si>
  <si>
    <t xml:space="preserve">2012</t>
  </si>
  <si>
    <t xml:space="preserve">1994</t>
  </si>
  <si>
    <t xml:space="preserve">1995</t>
  </si>
  <si>
    <t xml:space="preserve">2014</t>
  </si>
  <si>
    <t xml:space="preserve">1996</t>
  </si>
  <si>
    <t xml:space="preserve">2015</t>
  </si>
  <si>
    <t xml:space="preserve">1997</t>
  </si>
  <si>
    <t xml:space="preserve">1998</t>
  </si>
  <si>
    <t xml:space="preserve">2017</t>
  </si>
  <si>
    <t xml:space="preserve">1999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</si>
  <si>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</si>
  <si>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</si>
  <si>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</si>
  <si>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</si>
  <si>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</si>
  <si>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</si>
  <si>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</si>
  <si>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HONEST BOTTOM LINE</t>
  </si>
  <si>
    <t xml:space="preserve">Bourbon County faces a real demographic headwind: flat for fifty years, aging, land-constrained, projected down about 4% by 2040, and outside the Scott and Fayette growth corridor. Organic enrollment growth at NMES is unlikely. The growth case therefore rests on redistricting within the district and cross-county enrollment on quality under House Bill 563, plus the school's academic record and community-anchor value.</t>
  </si>
  <si>
    <t xml:space="preserve">School Data Backing the Report Figures</t>
  </si>
  <si>
    <t xml:space="preserve">Inputs (blue) transcribed from public sources. Scores are SchoolDigger's normalized 0-100 'Average Standard Score' from KDE test data - not KDE's official rating. Confirm vs KDE Open House datasets before formal submission.</t>
  </si>
  <si>
    <t xml:space="preserve">NMES ENROLLMENT BY SCHOOL YEAR (backs Figure 11)</t>
  </si>
  <si>
    <t xml:space="preserve">School year</t>
  </si>
  <si>
    <t xml:space="preserve">'15-16</t>
  </si>
  <si>
    <t xml:space="preserve">'16-17</t>
  </si>
  <si>
    <t xml:space="preserve">'17-18</t>
  </si>
  <si>
    <t xml:space="preserve">'18-19</t>
  </si>
  <si>
    <t xml:space="preserve">'19-20</t>
  </si>
  <si>
    <t xml:space="preserve">'20-21</t>
  </si>
  <si>
    <t xml:space="preserve">'21-22</t>
  </si>
  <si>
    <t xml:space="preserve">'22-23</t>
  </si>
  <si>
    <t xml:space="preserve">'23-24</t>
  </si>
  <si>
    <t xml:space="preserve">'24-25</t>
  </si>
  <si>
    <t xml:space="preserve">Students</t>
  </si>
  <si>
    <t xml:space="preserve">NCES school-level data (as compiled by PublicSchoolReview); 2024-25 = NCES CCD official count</t>
  </si>
  <si>
    <t xml:space="preserve">Rated capacity (2021 facility plan)</t>
  </si>
  <si>
    <t xml:space="preserve">Open seats, 2024-25</t>
  </si>
  <si>
    <t xml:space="preserve">Note: the superintendent has publicly said 'around 100'; a '118' figure could not be verified in any official record.</t>
  </si>
  <si>
    <t xml:space="preserve">ELEMENTARY SCORES BY YEAR, 2007-2025 (backs Figures 6 and 7)</t>
  </si>
  <si>
    <t xml:space="preserve">School (district)</t>
  </si>
  <si>
    <t xml:space="preserve">SchoolDigger rendering of KDE test data. No statewide tests in 2020; NMES 2021 not reported. Assessment systems: CATS/KCCT 2007-11, K-PREP 2012-19, KSA 2021-25.</t>
  </si>
  <si>
    <t xml:space="preserve">North Middletown (Bourbon Co.)</t>
  </si>
  <si>
    <t xml:space="preserve">Bourbon Central (Bourbon Co.)</t>
  </si>
  <si>
    <t xml:space="preserve">Cane Ridge (Bourbon Co.)</t>
  </si>
  <si>
    <t xml:space="preserve">Paris Elementary (Paris Indep.)</t>
  </si>
  <si>
    <t xml:space="preserve">Shearer (Clark Co.)</t>
  </si>
  <si>
    <t xml:space="preserve">Justice (Clark Co.)</t>
  </si>
  <si>
    <t xml:space="preserve">Strode Station (Clark Co.)</t>
  </si>
  <si>
    <t xml:space="preserve">Conkwright (Clark Co.)</t>
  </si>
  <si>
    <t xml:space="preserve">Northview (Montgomery Co.)</t>
  </si>
  <si>
    <t xml:space="preserve">Mapleton (Montgomery Co.)</t>
  </si>
  <si>
    <t xml:space="preserve">Nicholas County Elementary (Nicholas Co.)</t>
  </si>
  <si>
    <t xml:space="preserve">Nicholas County: 2024 value; 2025 not retrieved</t>
  </si>
  <si>
    <t xml:space="preserve">Three-year average, 2023-2025: NMES / Bourbon Central / Cane Ridge</t>
  </si>
  <si>
    <t xml:space="preserve">NMES DETAIL, 2024-25 (backs Section 5)</t>
  </si>
  <si>
    <t xml:space="preserve">NMES</t>
  </si>
  <si>
    <t xml:space="preserve">Kentucky</t>
  </si>
  <si>
    <t xml:space="preserve">Reading, proficient or better</t>
  </si>
  <si>
    <t xml:space="preserve">SchoolDigger/KDE; economically disadvantaged composite = 62nd percentile statewide; female = 91st</t>
  </si>
  <si>
    <t xml:space="preserve">Mathematics, proficient or better</t>
  </si>
  <si>
    <t xml:space="preserve">Writing, proficient or better</t>
  </si>
  <si>
    <t xml:space="preserve">Science, proficient or better</t>
  </si>
  <si>
    <t xml:space="preserve">Composite: economically disadvantaged students</t>
  </si>
  <si>
    <t xml:space="preserve">Composite: female students</t>
  </si>
  <si>
    <t xml:space="preserve">Composite: male students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</si>
</sst>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#,##0;\(#,##0\);\-"/>
    <numFmt numFmtId="167" formatCode="0.00"/>
    <numFmt numFmtId="168" formatCode="0.0%"/>
    <numFmt numFmtId="169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6" t="s">
        <v>9</v>
      </c>
    </row>
    <row r="13" customFormat="false" ht="15" hidden="false" customHeight="false" outlineLevel="0" collapsed="false">
      <c r="A13" s="7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4" t="s">
        <v>23</v>
      </c>
    </row>
    <row r="5" customFormat="false" ht="15" hidden="false" customHeight="false" outlineLevel="0" collapsed="false">
      <c r="A5" s="3" t="s">
        <v>24</v>
      </c>
      <c r="B5" s="8" t="n">
        <v>4586</v>
      </c>
      <c r="C5" s="2" t="s">
        <v>25</v>
      </c>
    </row>
    <row r="6" customFormat="false" ht="15" hidden="false" customHeight="false" outlineLevel="0" collapsed="false">
      <c r="A6" s="3" t="s">
        <v>26</v>
      </c>
      <c r="B6" s="8" t="n">
        <v>4626</v>
      </c>
      <c r="C6" s="2" t="s">
        <v>27</v>
      </c>
    </row>
    <row r="7" customFormat="false" ht="15" hidden="false" customHeight="false" outlineLevel="0" collapsed="false">
      <c r="A7" s="3" t="s">
        <v>28</v>
      </c>
      <c r="B7" s="8" t="n">
        <v>4792</v>
      </c>
      <c r="C7" s="2" t="s">
        <v>27</v>
      </c>
    </row>
    <row r="8" customFormat="false" ht="15" hidden="false" customHeight="false" outlineLevel="0" collapsed="false">
      <c r="A8" s="3" t="s">
        <v>29</v>
      </c>
      <c r="B8" s="9" t="n">
        <f aca="false">B7</f>
        <v>4792</v>
      </c>
      <c r="C8" s="2" t="s">
        <v>30</v>
      </c>
    </row>
    <row r="10" customFormat="false" ht="15" hidden="false" customHeight="false" outlineLevel="0" collapsed="false">
      <c r="A10" s="4" t="s">
        <v>31</v>
      </c>
    </row>
    <row r="11" customFormat="false" ht="15" hidden="false" customHeight="false" outlineLevel="0" collapsed="false">
      <c r="A11" s="3" t="s">
        <v>32</v>
      </c>
      <c r="B11" s="10" t="n">
        <v>128</v>
      </c>
      <c r="C11" s="2" t="s">
        <v>33</v>
      </c>
    </row>
    <row r="12" customFormat="false" ht="15" hidden="false" customHeight="false" outlineLevel="0" collapsed="false">
      <c r="A12" s="3" t="s">
        <v>34</v>
      </c>
      <c r="B12" s="10" t="n">
        <v>174</v>
      </c>
      <c r="C12" s="2" t="s">
        <v>35</v>
      </c>
    </row>
    <row r="13" customFormat="false" ht="15" hidden="false" customHeight="false" outlineLevel="0" collapsed="false">
      <c r="A13" s="3" t="s">
        <v>36</v>
      </c>
      <c r="B13" s="11" t="n">
        <f aca="false">B12-B11</f>
        <v>46</v>
      </c>
    </row>
    <row r="14" customFormat="false" ht="15" hidden="false" customHeight="false" outlineLevel="0" collapsed="false">
      <c r="A14" s="3" t="s">
        <v>37</v>
      </c>
      <c r="B14" s="8" t="n">
        <v>19348</v>
      </c>
      <c r="C14" s="2" t="s">
        <v>38</v>
      </c>
    </row>
    <row r="15" customFormat="false" ht="15" hidden="false" customHeight="false" outlineLevel="0" collapsed="false">
      <c r="A15" s="3" t="s">
        <v>39</v>
      </c>
      <c r="B15" s="8" t="n">
        <v>14173</v>
      </c>
      <c r="C15" s="2" t="s">
        <v>38</v>
      </c>
    </row>
    <row r="16" customFormat="false" ht="15" hidden="false" customHeight="false" outlineLevel="0" collapsed="false">
      <c r="A16" s="3" t="s">
        <v>40</v>
      </c>
      <c r="B16" s="12" t="n">
        <v>9.41</v>
      </c>
      <c r="C16" s="2" t="s">
        <v>41</v>
      </c>
    </row>
    <row r="18" customFormat="false" ht="15" hidden="false" customHeight="false" outlineLevel="0" collapsed="false">
      <c r="A18" s="4" t="s">
        <v>42</v>
      </c>
    </row>
    <row r="19" customFormat="false" ht="15" hidden="false" customHeight="false" outlineLevel="0" collapsed="false">
      <c r="A19" s="3" t="s">
        <v>43</v>
      </c>
      <c r="B19" s="8" t="n">
        <v>27668655</v>
      </c>
      <c r="C19" s="2" t="s">
        <v>44</v>
      </c>
    </row>
    <row r="20" customFormat="false" ht="15" hidden="false" customHeight="false" outlineLevel="0" collapsed="false">
      <c r="A20" s="3" t="s">
        <v>45</v>
      </c>
      <c r="B20" s="8" t="n">
        <v>24952644</v>
      </c>
      <c r="C20" s="2" t="s">
        <v>46</v>
      </c>
    </row>
    <row r="21" customFormat="false" ht="15" hidden="false" customHeight="false" outlineLevel="0" collapsed="false">
      <c r="A21" s="3" t="s">
        <v>47</v>
      </c>
      <c r="B21" s="8" t="n">
        <v>26449318</v>
      </c>
      <c r="C21" s="2" t="s">
        <v>48</v>
      </c>
    </row>
    <row r="22" customFormat="false" ht="15" hidden="false" customHeight="false" outlineLevel="0" collapsed="false">
      <c r="A22" s="3" t="s">
        <v>49</v>
      </c>
      <c r="B22" s="8" t="n">
        <v>27905775</v>
      </c>
      <c r="C22" s="2" t="s">
        <v>44</v>
      </c>
    </row>
    <row r="23" customFormat="false" ht="15" hidden="false" customHeight="false" outlineLevel="0" collapsed="false">
      <c r="A23" s="3" t="s">
        <v>50</v>
      </c>
      <c r="B23" s="8" t="n">
        <v>27487732</v>
      </c>
      <c r="C23" s="2" t="s">
        <v>46</v>
      </c>
    </row>
    <row r="24" customFormat="false" ht="15" hidden="false" customHeight="false" outlineLevel="0" collapsed="false">
      <c r="A24" s="3" t="s">
        <v>51</v>
      </c>
      <c r="B24" s="8" t="n">
        <v>29097404</v>
      </c>
      <c r="C24" s="2" t="s">
        <v>48</v>
      </c>
    </row>
    <row r="25" customFormat="false" ht="15" hidden="false" customHeight="false" outlineLevel="0" collapsed="false">
      <c r="A25" s="3" t="s">
        <v>52</v>
      </c>
      <c r="B25" s="8" t="n">
        <v>1469431</v>
      </c>
      <c r="C25" s="2" t="s">
        <v>46</v>
      </c>
    </row>
    <row r="26" customFormat="false" ht="15" hidden="false" customHeight="false" outlineLevel="0" collapsed="false">
      <c r="A26" s="3" t="s">
        <v>53</v>
      </c>
      <c r="B26" s="8" t="n">
        <v>1422621</v>
      </c>
      <c r="C26" s="2" t="s">
        <v>48</v>
      </c>
    </row>
    <row r="27" customFormat="false" ht="15" hidden="false" customHeight="false" outlineLevel="0" collapsed="false">
      <c r="A27" s="3" t="s">
        <v>54</v>
      </c>
      <c r="B27" s="8" t="n">
        <v>6582802</v>
      </c>
      <c r="C27" s="2" t="s">
        <v>46</v>
      </c>
    </row>
    <row r="28" customFormat="false" ht="15" hidden="false" customHeight="false" outlineLevel="0" collapsed="false">
      <c r="A28" s="3" t="s">
        <v>55</v>
      </c>
      <c r="B28" s="8" t="n">
        <v>5516305</v>
      </c>
      <c r="C28" s="2" t="s">
        <v>46</v>
      </c>
    </row>
    <row r="29" customFormat="false" ht="15" hidden="false" customHeight="false" outlineLevel="0" collapsed="false">
      <c r="A29" s="3" t="s">
        <v>56</v>
      </c>
      <c r="B29" s="8" t="n">
        <v>4290840</v>
      </c>
      <c r="C29" s="2" t="s">
        <v>48</v>
      </c>
    </row>
    <row r="30" customFormat="false" ht="15" hidden="false" customHeight="false" outlineLevel="0" collapsed="false">
      <c r="A30" s="3" t="s">
        <v>57</v>
      </c>
      <c r="B30" s="8" t="n">
        <v>3925193</v>
      </c>
      <c r="C30" s="2" t="s">
        <v>48</v>
      </c>
    </row>
    <row r="31" customFormat="false" ht="15" hidden="false" customHeight="false" outlineLevel="0" collapsed="false">
      <c r="A31" s="3" t="s">
        <v>58</v>
      </c>
      <c r="B31" s="13" t="n">
        <v>0.02</v>
      </c>
      <c r="C31" s="2" t="s">
        <v>59</v>
      </c>
    </row>
    <row r="33" customFormat="false" ht="15" hidden="false" customHeight="false" outlineLevel="0" collapsed="false">
      <c r="A33" s="4" t="s">
        <v>60</v>
      </c>
    </row>
    <row r="34" customFormat="false" ht="15" hidden="false" customHeight="false" outlineLevel="0" collapsed="false">
      <c r="A34" s="3" t="s">
        <v>61</v>
      </c>
      <c r="B34" s="8" t="n">
        <v>1843569625</v>
      </c>
      <c r="C34" s="2" t="s">
        <v>62</v>
      </c>
    </row>
    <row r="35" customFormat="false" ht="15" hidden="false" customHeight="false" outlineLevel="0" collapsed="false">
      <c r="A35" s="3" t="s">
        <v>63</v>
      </c>
      <c r="B35" s="8" t="n">
        <v>7829060</v>
      </c>
      <c r="C35" s="2" t="s">
        <v>48</v>
      </c>
    </row>
    <row r="36" customFormat="false" ht="15" hidden="false" customHeight="false" outlineLevel="0" collapsed="false">
      <c r="A36" s="3" t="s">
        <v>64</v>
      </c>
      <c r="B36" s="13" t="n">
        <v>0.04</v>
      </c>
      <c r="C36" s="2" t="s">
        <v>65</v>
      </c>
    </row>
    <row r="37" customFormat="false" ht="15" hidden="false" customHeight="false" outlineLevel="0" collapsed="false">
      <c r="A37" s="3" t="s">
        <v>66</v>
      </c>
      <c r="B37" s="8" t="n">
        <v>387840</v>
      </c>
      <c r="C37" s="2" t="s">
        <v>67</v>
      </c>
    </row>
    <row r="38" customFormat="false" ht="15" hidden="false" customHeight="false" outlineLevel="0" collapsed="false">
      <c r="A38" s="3" t="s">
        <v>68</v>
      </c>
      <c r="B38" s="8" t="n">
        <v>239126</v>
      </c>
      <c r="C38" s="2" t="s">
        <v>69</v>
      </c>
    </row>
    <row r="40" customFormat="false" ht="15" hidden="false" customHeight="false" outlineLevel="0" collapsed="false">
      <c r="A40" s="4" t="s">
        <v>70</v>
      </c>
    </row>
    <row r="41" customFormat="false" ht="15" hidden="false" customHeight="false" outlineLevel="0" collapsed="false">
      <c r="A41" s="3" t="s">
        <v>71</v>
      </c>
      <c r="B41" s="14" t="n">
        <v>85000</v>
      </c>
      <c r="C41" s="2" t="s">
        <v>72</v>
      </c>
    </row>
    <row r="42" customFormat="false" ht="15" hidden="false" customHeight="false" outlineLevel="0" collapsed="false">
      <c r="A42" s="3" t="s">
        <v>73</v>
      </c>
      <c r="B42" s="8" t="n">
        <v>2913654</v>
      </c>
      <c r="C42" s="2" t="s">
        <v>48</v>
      </c>
    </row>
    <row r="43" customFormat="false" ht="15" hidden="false" customHeight="false" outlineLevel="0" collapsed="false">
      <c r="A43" s="3" t="s">
        <v>74</v>
      </c>
      <c r="B43" s="15" t="n">
        <v>0.05</v>
      </c>
      <c r="C43" s="2" t="s">
        <v>75</v>
      </c>
    </row>
    <row r="44" customFormat="false" ht="15" hidden="false" customHeight="false" outlineLevel="0" collapsed="false">
      <c r="A44" s="3" t="s">
        <v>76</v>
      </c>
      <c r="B44" s="15" t="n">
        <v>0.1</v>
      </c>
      <c r="C44" s="2" t="s">
        <v>75</v>
      </c>
    </row>
    <row r="45" customFormat="false" ht="15" hidden="false" customHeight="false" outlineLevel="0" collapsed="false">
      <c r="A45" s="3" t="s">
        <v>77</v>
      </c>
      <c r="B45" s="8" t="n">
        <v>999727</v>
      </c>
      <c r="C45" s="2" t="s">
        <v>46</v>
      </c>
    </row>
    <row r="46" customFormat="false" ht="15" hidden="false" customHeight="false" outlineLevel="0" collapsed="false">
      <c r="A46" s="3" t="s">
        <v>78</v>
      </c>
      <c r="B46" s="8" t="n">
        <v>1447164</v>
      </c>
      <c r="C46" s="2" t="s">
        <v>48</v>
      </c>
    </row>
    <row r="47" customFormat="false" ht="15" hidden="false" customHeight="false" outlineLevel="0" collapsed="false">
      <c r="A47" s="3" t="s">
        <v>79</v>
      </c>
      <c r="B47" s="15" t="n">
        <v>0.5</v>
      </c>
      <c r="C47" s="2" t="s">
        <v>80</v>
      </c>
    </row>
    <row r="48" customFormat="false" ht="15" hidden="false" customHeight="false" outlineLevel="0" collapsed="false">
      <c r="A48" s="3" t="s">
        <v>81</v>
      </c>
      <c r="B48" s="16" t="n">
        <v>4</v>
      </c>
      <c r="C48" s="2" t="s">
        <v>80</v>
      </c>
    </row>
    <row r="50" customFormat="false" ht="15" hidden="false" customHeight="false" outlineLevel="0" collapsed="false">
      <c r="A50" s="4" t="s">
        <v>82</v>
      </c>
    </row>
    <row r="51" customFormat="false" ht="15" hidden="false" customHeight="false" outlineLevel="0" collapsed="false">
      <c r="A51" s="3" t="s">
        <v>83</v>
      </c>
      <c r="B51" s="14" t="n">
        <v>175000</v>
      </c>
      <c r="C51" s="2" t="s">
        <v>75</v>
      </c>
    </row>
    <row r="52" customFormat="false" ht="15" hidden="false" customHeight="false" outlineLevel="0" collapsed="false">
      <c r="A52" s="3" t="s">
        <v>84</v>
      </c>
      <c r="B52" s="14" t="n">
        <v>115000</v>
      </c>
      <c r="C52" s="2" t="s">
        <v>85</v>
      </c>
    </row>
    <row r="53" customFormat="false" ht="15" hidden="false" customHeight="false" outlineLevel="0" collapsed="false">
      <c r="A53" s="3" t="s">
        <v>86</v>
      </c>
      <c r="B53" s="16" t="n">
        <v>3</v>
      </c>
      <c r="C53" s="2" t="s">
        <v>87</v>
      </c>
    </row>
    <row r="54" customFormat="false" ht="15" hidden="false" customHeight="false" outlineLevel="0" collapsed="false">
      <c r="A54" s="3" t="s">
        <v>88</v>
      </c>
      <c r="B54" s="14" t="n">
        <v>137500</v>
      </c>
      <c r="C54" s="2" t="s">
        <v>89</v>
      </c>
    </row>
    <row r="55" customFormat="false" ht="15" hidden="false" customHeight="false" outlineLevel="0" collapsed="false">
      <c r="A55" s="3" t="s">
        <v>90</v>
      </c>
      <c r="B55" s="16" t="n">
        <v>10</v>
      </c>
      <c r="C55" s="2" t="s">
        <v>91</v>
      </c>
    </row>
    <row r="56" customFormat="false" ht="15" hidden="false" customHeight="false" outlineLevel="0" collapsed="false">
      <c r="A56" s="3" t="s">
        <v>92</v>
      </c>
      <c r="B56" s="14" t="n">
        <v>100000</v>
      </c>
      <c r="C56" s="2" t="s">
        <v>75</v>
      </c>
    </row>
    <row r="58" customFormat="false" ht="15" hidden="false" customHeight="false" outlineLevel="0" collapsed="false">
      <c r="A58" s="4" t="s">
        <v>93</v>
      </c>
    </row>
    <row r="59" customFormat="false" ht="15" hidden="false" customHeight="false" outlineLevel="0" collapsed="false">
      <c r="A59" s="3" t="s">
        <v>94</v>
      </c>
      <c r="B59" s="10" t="n">
        <v>15</v>
      </c>
      <c r="C59" s="2" t="s">
        <v>95</v>
      </c>
    </row>
    <row r="60" customFormat="false" ht="15" hidden="false" customHeight="false" outlineLevel="0" collapsed="false">
      <c r="A60" s="3" t="s">
        <v>96</v>
      </c>
      <c r="B60" s="10" t="n">
        <v>30</v>
      </c>
      <c r="C60" s="2" t="s">
        <v>95</v>
      </c>
    </row>
    <row r="61" customFormat="false" ht="15" hidden="false" customHeight="false" outlineLevel="0" collapsed="false">
      <c r="A61" s="3" t="s">
        <v>97</v>
      </c>
      <c r="B61" s="10" t="n">
        <v>46</v>
      </c>
      <c r="C61" s="2" t="s">
        <v>98</v>
      </c>
    </row>
    <row r="62" customFormat="false" ht="15" hidden="false" customHeight="false" outlineLevel="0" collapsed="false">
      <c r="A62" s="3" t="s">
        <v>99</v>
      </c>
      <c r="B62" s="14" t="n">
        <v>400</v>
      </c>
      <c r="C62" s="2" t="s">
        <v>100</v>
      </c>
    </row>
    <row r="63" customFormat="false" ht="15" hidden="false" customHeight="false" outlineLevel="0" collapsed="false">
      <c r="A63" s="3" t="s">
        <v>101</v>
      </c>
      <c r="B63" s="16" t="n">
        <v>30</v>
      </c>
      <c r="C63" s="2" t="s">
        <v>80</v>
      </c>
    </row>
    <row r="65" customFormat="false" ht="15" hidden="false" customHeight="false" outlineLevel="0" collapsed="false">
      <c r="A65" s="4" t="s">
        <v>102</v>
      </c>
    </row>
    <row r="66" customFormat="false" ht="15" hidden="false" customHeight="false" outlineLevel="0" collapsed="false">
      <c r="A66" s="3" t="s">
        <v>103</v>
      </c>
      <c r="B66" s="16" t="n">
        <v>5</v>
      </c>
      <c r="C66" s="2" t="s">
        <v>104</v>
      </c>
    </row>
    <row r="67" customFormat="false" ht="15" hidden="false" customHeight="false" outlineLevel="0" collapsed="false">
      <c r="A67" s="3" t="s">
        <v>105</v>
      </c>
      <c r="B67" s="14" t="n">
        <v>75000</v>
      </c>
      <c r="C67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</cols>
  <sheetData>
    <row r="1" customFormat="false" ht="16.15" hidden="false" customHeight="false" outlineLevel="0" collapsed="false">
      <c r="A1" s="1" t="s">
        <v>107</v>
      </c>
    </row>
    <row r="3" customFormat="false" ht="15" hidden="false" customHeight="false" outlineLevel="0" collapsed="false">
      <c r="A3" s="17"/>
      <c r="B3" s="17" t="s">
        <v>108</v>
      </c>
      <c r="C3" s="17" t="s">
        <v>109</v>
      </c>
      <c r="D3" s="17" t="s">
        <v>110</v>
      </c>
    </row>
    <row r="4" customFormat="false" ht="15" hidden="false" customHeight="false" outlineLevel="0" collapsed="false">
      <c r="A4" s="3" t="s">
        <v>111</v>
      </c>
      <c r="B4" s="18" t="n">
        <f aca="false">Assumptions!B19</f>
        <v>27668655</v>
      </c>
      <c r="C4" s="18" t="n">
        <f aca="false">Assumptions!B20</f>
        <v>24952644</v>
      </c>
      <c r="D4" s="18" t="n">
        <f aca="false">Assumptions!B21</f>
        <v>26449318</v>
      </c>
    </row>
    <row r="5" customFormat="false" ht="15" hidden="false" customHeight="false" outlineLevel="0" collapsed="false">
      <c r="A5" s="3" t="s">
        <v>112</v>
      </c>
      <c r="B5" s="18" t="n">
        <f aca="false">Assumptions!B22</f>
        <v>27905775</v>
      </c>
      <c r="C5" s="18" t="n">
        <f aca="false">Assumptions!B23</f>
        <v>27487732</v>
      </c>
      <c r="D5" s="18" t="n">
        <f aca="false">Assumptions!B24</f>
        <v>29097404</v>
      </c>
    </row>
    <row r="6" customFormat="false" ht="15" hidden="false" customHeight="false" outlineLevel="0" collapsed="false">
      <c r="A6" s="3" t="s">
        <v>113</v>
      </c>
      <c r="B6" s="9" t="n">
        <f aca="false">B4-B5</f>
        <v>-237120</v>
      </c>
      <c r="C6" s="9" t="n">
        <f aca="false">C4-C5</f>
        <v>-2535088</v>
      </c>
      <c r="D6" s="9" t="n">
        <f aca="false">D4-D5</f>
        <v>-2648086</v>
      </c>
    </row>
    <row r="7" customFormat="false" ht="15" hidden="false" customHeight="false" outlineLevel="0" collapsed="false">
      <c r="A7" s="3" t="s">
        <v>114</v>
      </c>
      <c r="C7" s="18" t="n">
        <f aca="false">Assumptions!B25</f>
        <v>1469431</v>
      </c>
      <c r="D7" s="18" t="n">
        <f aca="false">Assumptions!B26</f>
        <v>1422621</v>
      </c>
    </row>
    <row r="8" customFormat="false" ht="15" hidden="false" customHeight="false" outlineLevel="0" collapsed="false">
      <c r="A8" s="3" t="s">
        <v>115</v>
      </c>
      <c r="C8" s="9" t="n">
        <f aca="false">C6+C7</f>
        <v>-1065657</v>
      </c>
      <c r="D8" s="9" t="n">
        <f aca="false">D6+D7</f>
        <v>-1225465</v>
      </c>
    </row>
    <row r="9" customFormat="false" ht="15" hidden="false" customHeight="false" outlineLevel="0" collapsed="false">
      <c r="A9" s="3" t="s">
        <v>116</v>
      </c>
      <c r="B9" s="18" t="n">
        <f aca="false">Assumptions!B27</f>
        <v>6582802</v>
      </c>
      <c r="C9" s="18" t="n">
        <f aca="false">Assumptions!B28</f>
        <v>5516305</v>
      </c>
      <c r="D9" s="18" t="n">
        <f aca="false">Assumptions!B29</f>
        <v>4290840</v>
      </c>
    </row>
    <row r="10" customFormat="false" ht="15" hidden="false" customHeight="false" outlineLevel="0" collapsed="false">
      <c r="A10" s="3" t="s">
        <v>117</v>
      </c>
      <c r="C10" s="9" t="n">
        <f aca="false">C9-B9-C8</f>
        <v>-840</v>
      </c>
      <c r="D10" s="9" t="n">
        <f aca="false">D9-C9-D8</f>
        <v>0</v>
      </c>
    </row>
    <row r="12" customFormat="false" ht="15" hidden="false" customHeight="false" outlineLevel="0" collapsed="false">
      <c r="A12" s="4" t="s">
        <v>118</v>
      </c>
    </row>
    <row r="13" customFormat="false" ht="15" hidden="false" customHeight="false" outlineLevel="0" collapsed="false">
      <c r="A13" s="3" t="s">
        <v>119</v>
      </c>
      <c r="D13" s="19" t="n">
        <f aca="false">D9/D5</f>
        <v>0.147464701662045</v>
      </c>
    </row>
    <row r="14" customFormat="false" ht="15" hidden="false" customHeight="false" outlineLevel="0" collapsed="false">
      <c r="A14" s="3" t="s">
        <v>120</v>
      </c>
      <c r="D14" s="9" t="n">
        <f aca="false">Assumptions!B31*D5</f>
        <v>581948.08</v>
      </c>
    </row>
    <row r="15" customFormat="false" ht="15" hidden="false" customHeight="false" outlineLevel="0" collapsed="false">
      <c r="A15" s="3" t="s">
        <v>121</v>
      </c>
      <c r="D15" s="9" t="n">
        <f aca="false">Assumptions!B30-D14</f>
        <v>3343244.92</v>
      </c>
    </row>
    <row r="16" customFormat="false" ht="15" hidden="false" customHeight="false" outlineLevel="0" collapsed="false">
      <c r="A16" s="3" t="s">
        <v>122</v>
      </c>
      <c r="D16" s="9" t="n">
        <f aca="false">-AVERAGE(C8:D8)</f>
        <v>1145561</v>
      </c>
    </row>
    <row r="17" customFormat="false" ht="15" hidden="false" customHeight="false" outlineLevel="0" collapsed="false">
      <c r="A17" s="3" t="s">
        <v>123</v>
      </c>
      <c r="D17" s="20" t="n">
        <f aca="false">IFERROR(D15/D16,0)</f>
        <v>2.91843465341435</v>
      </c>
    </row>
    <row r="19" customFormat="false" ht="15" hidden="false" customHeight="false" outlineLevel="0" collapsed="false">
      <c r="A19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6"/>
    <col collapsed="false" customWidth="true" hidden="false" outlineLevel="0" max="3" min="3" style="0" width="46"/>
  </cols>
  <sheetData>
    <row r="1" customFormat="false" ht="16.1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</row>
    <row r="5" customFormat="false" ht="15" hidden="false" customHeight="false" outlineLevel="0" collapsed="false">
      <c r="A5" s="3" t="s">
        <v>128</v>
      </c>
      <c r="B5" s="8" t="n">
        <v>1000000</v>
      </c>
      <c r="C5" s="2" t="s">
        <v>129</v>
      </c>
    </row>
    <row r="6" customFormat="false" ht="15" hidden="false" customHeight="false" outlineLevel="0" collapsed="false">
      <c r="A6" s="3" t="s">
        <v>130</v>
      </c>
      <c r="B6" s="18" t="n">
        <f aca="false">Assumptions!B14*Assumptions!B11</f>
        <v>2476544</v>
      </c>
    </row>
    <row r="7" customFormat="false" ht="15" hidden="false" customHeight="false" outlineLevel="0" collapsed="false">
      <c r="A7" s="3" t="s">
        <v>131</v>
      </c>
      <c r="B7" s="18" t="n">
        <f aca="false">Assumptions!B15*Assumptions!B11</f>
        <v>1814144</v>
      </c>
    </row>
    <row r="9" customFormat="false" ht="15" hidden="false" customHeight="false" outlineLevel="0" collapsed="false">
      <c r="A9" s="4" t="s">
        <v>132</v>
      </c>
    </row>
    <row r="10" customFormat="false" ht="15" hidden="false" customHeight="false" outlineLevel="0" collapsed="false">
      <c r="A10" s="3" t="s">
        <v>133</v>
      </c>
      <c r="B10" s="18" t="n">
        <f aca="false">Assumptions!B51</f>
        <v>175000</v>
      </c>
    </row>
    <row r="11" customFormat="false" ht="15" hidden="false" customHeight="false" outlineLevel="0" collapsed="false">
      <c r="A11" s="3" t="s">
        <v>134</v>
      </c>
      <c r="B11" s="18" t="n">
        <f aca="false">Assumptions!B52</f>
        <v>115000</v>
      </c>
    </row>
    <row r="12" customFormat="false" ht="15" hidden="false" customHeight="false" outlineLevel="0" collapsed="false">
      <c r="A12" s="3" t="s">
        <v>135</v>
      </c>
      <c r="B12" s="18" t="n">
        <f aca="false">Assumptions!B53*Assumptions!B41</f>
        <v>255000</v>
      </c>
    </row>
    <row r="13" customFormat="false" ht="15" hidden="false" customHeight="false" outlineLevel="0" collapsed="false">
      <c r="A13" s="21" t="s">
        <v>136</v>
      </c>
      <c r="B13" s="22" t="n">
        <f aca="false">SUM(B10:B12)</f>
        <v>545000</v>
      </c>
    </row>
    <row r="15" customFormat="false" ht="15" hidden="false" customHeight="false" outlineLevel="0" collapsed="false">
      <c r="A15" s="4" t="s">
        <v>137</v>
      </c>
    </row>
    <row r="16" customFormat="false" ht="15" hidden="false" customHeight="false" outlineLevel="0" collapsed="false">
      <c r="A16" s="3" t="s">
        <v>138</v>
      </c>
      <c r="B16" s="18" t="n">
        <f aca="false">Assumptions!B54</f>
        <v>137500</v>
      </c>
    </row>
    <row r="17" customFormat="false" ht="15" hidden="false" customHeight="false" outlineLevel="0" collapsed="false">
      <c r="A17" s="3" t="s">
        <v>139</v>
      </c>
      <c r="B17" s="18" t="n">
        <f aca="false">Assumptions!B55*Assumptions!B6</f>
        <v>46260</v>
      </c>
    </row>
    <row r="18" customFormat="false" ht="15" hidden="false" customHeight="false" outlineLevel="0" collapsed="false">
      <c r="A18" s="21" t="s">
        <v>140</v>
      </c>
      <c r="B18" s="22" t="n">
        <f aca="false">SUM(B16:B17)</f>
        <v>183760</v>
      </c>
    </row>
    <row r="20" customFormat="false" ht="15" hidden="false" customHeight="false" outlineLevel="0" collapsed="false">
      <c r="A20" s="21" t="s">
        <v>141</v>
      </c>
      <c r="B20" s="23" t="n">
        <f aca="false">B13-B18</f>
        <v>361240</v>
      </c>
    </row>
    <row r="21" customFormat="false" ht="15" hidden="false" customHeight="false" outlineLevel="0" collapsed="false">
      <c r="A21" s="3" t="s">
        <v>142</v>
      </c>
      <c r="B21" s="19" t="n">
        <f aca="false">B20/(Assumptions!B24-Assumptions!B21)</f>
        <v>0.136415509163977</v>
      </c>
    </row>
    <row r="22" customFormat="false" ht="15" hidden="false" customHeight="false" outlineLevel="0" collapsed="false">
      <c r="A22" s="3" t="s">
        <v>143</v>
      </c>
      <c r="B22" s="18" t="n">
        <f aca="false">Assumptions!B56</f>
        <v>100000</v>
      </c>
    </row>
    <row r="24" customFormat="false" ht="15" hidden="false" customHeight="false" outlineLevel="0" collapsed="false">
      <c r="A24" s="4" t="s">
        <v>144</v>
      </c>
    </row>
    <row r="25" customFormat="false" ht="15" hidden="false" customHeight="false" outlineLevel="0" collapsed="false">
      <c r="A25" s="21" t="s">
        <v>145</v>
      </c>
      <c r="B25" s="21" t="s">
        <v>146</v>
      </c>
    </row>
    <row r="26" customFormat="false" ht="15" hidden="false" customHeight="false" outlineLevel="0" collapsed="false">
      <c r="A26" s="10" t="n">
        <v>0</v>
      </c>
      <c r="B26" s="9" t="n">
        <f aca="false">$B$13-Assumptions!$B$54-A26*Assumptions!$B$6</f>
        <v>407500</v>
      </c>
    </row>
    <row r="27" customFormat="false" ht="15" hidden="false" customHeight="false" outlineLevel="0" collapsed="false">
      <c r="A27" s="10" t="n">
        <v>10</v>
      </c>
      <c r="B27" s="9" t="n">
        <f aca="false">$B$13-Assumptions!$B$54-A27*Assumptions!$B$6</f>
        <v>361240</v>
      </c>
    </row>
    <row r="28" customFormat="false" ht="15" hidden="false" customHeight="false" outlineLevel="0" collapsed="false">
      <c r="A28" s="10" t="n">
        <v>20</v>
      </c>
      <c r="B28" s="9" t="n">
        <f aca="false">$B$13-Assumptions!$B$54-A28*Assumptions!$B$6</f>
        <v>314980</v>
      </c>
    </row>
    <row r="29" customFormat="false" ht="15" hidden="false" customHeight="false" outlineLevel="0" collapsed="false">
      <c r="A29" s="10" t="n">
        <v>30</v>
      </c>
      <c r="B29" s="9" t="n">
        <f aca="false">$B$13-Assumptions!$B$54-A29*Assumptions!$B$6</f>
        <v>268720</v>
      </c>
    </row>
    <row r="31" customFormat="false" ht="15" hidden="false" customHeight="false" outlineLevel="0" collapsed="false">
      <c r="A31" s="2" t="s">
        <v>147</v>
      </c>
    </row>
    <row r="33" customFormat="false" ht="15" hidden="false" customHeight="false" outlineLevel="0" collapsed="false">
      <c r="A33" s="4" t="s">
        <v>148</v>
      </c>
    </row>
    <row r="34" customFormat="false" ht="15" hidden="false" customHeight="false" outlineLevel="0" collapsed="false">
      <c r="A34" s="3" t="s">
        <v>149</v>
      </c>
      <c r="B34" s="18" t="n">
        <f aca="false">Assumptions!B51+Assumptions!B52+Assumptions!B66*Assumptions!B41-Assumptions!B67</f>
        <v>640000</v>
      </c>
    </row>
    <row r="35" customFormat="false" ht="15" hidden="false" customHeight="false" outlineLevel="0" collapsed="false">
      <c r="A35" s="3" t="s">
        <v>142</v>
      </c>
      <c r="B35" s="19" t="n">
        <f aca="false">B34/(Assumptions!B24-Assumptions!B21)</f>
        <v>0.241683993646732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4"/>
  </cols>
  <sheetData>
    <row r="1" customFormat="false" ht="16.1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17"/>
      <c r="B4" s="17" t="s">
        <v>152</v>
      </c>
      <c r="C4" s="17" t="s">
        <v>153</v>
      </c>
      <c r="D4" s="17" t="s">
        <v>154</v>
      </c>
    </row>
    <row r="5" customFormat="false" ht="15" hidden="false" customHeight="false" outlineLevel="0" collapsed="false">
      <c r="A5" s="3" t="s">
        <v>155</v>
      </c>
      <c r="B5" s="24" t="n">
        <f aca="false">Assumptions!B59</f>
        <v>15</v>
      </c>
      <c r="C5" s="24" t="n">
        <f aca="false">Assumptions!B60</f>
        <v>30</v>
      </c>
      <c r="D5" s="24" t="n">
        <f aca="false">Assumptions!B61</f>
        <v>46</v>
      </c>
    </row>
    <row r="6" customFormat="false" ht="15" hidden="false" customHeight="false" outlineLevel="0" collapsed="false">
      <c r="A6" s="3" t="s">
        <v>156</v>
      </c>
      <c r="B6" s="11" t="n">
        <f aca="false">MIN(B5,Assumptions!$B$13)</f>
        <v>15</v>
      </c>
      <c r="C6" s="11" t="n">
        <f aca="false">MIN(C5,Assumptions!$B$13)</f>
        <v>30</v>
      </c>
      <c r="D6" s="11" t="n">
        <f aca="false">MIN(D5,Assumptions!$B$13)</f>
        <v>46</v>
      </c>
    </row>
    <row r="7" customFormat="false" ht="15" hidden="false" customHeight="false" outlineLevel="0" collapsed="false">
      <c r="A7" s="3" t="s">
        <v>157</v>
      </c>
      <c r="B7" s="18" t="n">
        <f aca="false">Assumptions!B6</f>
        <v>4626</v>
      </c>
      <c r="C7" s="18" t="n">
        <f aca="false">Assumptions!B7</f>
        <v>4792</v>
      </c>
      <c r="D7" s="18" t="n">
        <f aca="false">Assumptions!B8</f>
        <v>4792</v>
      </c>
    </row>
    <row r="8" customFormat="false" ht="15" hidden="false" customHeight="false" outlineLevel="0" collapsed="false">
      <c r="A8" s="3" t="s">
        <v>158</v>
      </c>
      <c r="B8" s="9" t="n">
        <f aca="false">B6*B7</f>
        <v>69390</v>
      </c>
      <c r="C8" s="9" t="n">
        <f aca="false">C6*C7</f>
        <v>143760</v>
      </c>
      <c r="D8" s="9" t="n">
        <f aca="false">D6*D7</f>
        <v>220432</v>
      </c>
    </row>
    <row r="9" customFormat="false" ht="15" hidden="false" customHeight="false" outlineLevel="0" collapsed="false">
      <c r="A9" s="3" t="s">
        <v>159</v>
      </c>
      <c r="B9" s="9" t="n">
        <f aca="false">B6*Assumptions!$B$62</f>
        <v>6000</v>
      </c>
      <c r="C9" s="9" t="n">
        <f aca="false">C6*Assumptions!$B$62</f>
        <v>12000</v>
      </c>
      <c r="D9" s="9" t="n">
        <f aca="false">D6*Assumptions!$B$62</f>
        <v>18400</v>
      </c>
    </row>
    <row r="10" customFormat="false" ht="15" hidden="false" customHeight="false" outlineLevel="0" collapsed="false">
      <c r="A10" s="3" t="s">
        <v>160</v>
      </c>
      <c r="B10" s="9" t="n">
        <f aca="false">IF(B6&gt;Assumptions!$B$63,Assumptions!$B$41,0)</f>
        <v>0</v>
      </c>
      <c r="C10" s="9" t="n">
        <f aca="false">IF(C6&gt;Assumptions!$B$63,Assumptions!$B$41,0)</f>
        <v>0</v>
      </c>
      <c r="D10" s="9" t="n">
        <f aca="false">IF(D6&gt;Assumptions!$B$63,Assumptions!$B$41,0)</f>
        <v>85000</v>
      </c>
    </row>
    <row r="11" customFormat="false" ht="15" hidden="false" customHeight="false" outlineLevel="0" collapsed="false">
      <c r="A11" s="21" t="s">
        <v>161</v>
      </c>
      <c r="B11" s="23" t="n">
        <f aca="false">B8-B9-B10</f>
        <v>63390</v>
      </c>
      <c r="C11" s="23" t="n">
        <f aca="false">C8-C9-C10</f>
        <v>131760</v>
      </c>
      <c r="D11" s="23" t="n">
        <f aca="false">D8-D9-D10</f>
        <v>117032</v>
      </c>
    </row>
    <row r="12" customFormat="false" ht="15" hidden="false" customHeight="false" outlineLevel="0" collapsed="false">
      <c r="A12" s="3" t="s">
        <v>162</v>
      </c>
      <c r="B12" s="9" t="n">
        <f aca="false">B11</f>
        <v>63390</v>
      </c>
      <c r="C12" s="9" t="n">
        <f aca="false">B12+C11</f>
        <v>195150</v>
      </c>
      <c r="D12" s="9" t="n">
        <f aca="false">C12+D11</f>
        <v>312182</v>
      </c>
    </row>
    <row r="14" customFormat="false" ht="43.25" hidden="false" customHeight="false" outlineLevel="0" collapsed="false">
      <c r="A14" s="25" t="s">
        <v>163</v>
      </c>
    </row>
    <row r="15" customFormat="false" ht="32.8" hidden="false" customHeight="false" outlineLevel="0" collapsed="false">
      <c r="A15" s="25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4" min="4" style="0" width="52"/>
  </cols>
  <sheetData>
    <row r="1" customFormat="false" ht="16.1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17" t="s">
        <v>166</v>
      </c>
      <c r="B3" s="17" t="s">
        <v>167</v>
      </c>
      <c r="C3" s="17" t="s">
        <v>168</v>
      </c>
      <c r="D3" s="17" t="s">
        <v>169</v>
      </c>
    </row>
    <row r="4" customFormat="false" ht="15" hidden="false" customHeight="false" outlineLevel="0" collapsed="false">
      <c r="A4" s="3" t="s">
        <v>170</v>
      </c>
      <c r="B4" s="18" t="n">
        <f aca="false">Assumptions!B35*Assumptions!B36</f>
        <v>313162.4</v>
      </c>
      <c r="C4" s="8" t="n">
        <v>450000</v>
      </c>
      <c r="D4" s="2" t="s">
        <v>171</v>
      </c>
    </row>
    <row r="5" customFormat="false" ht="15" hidden="false" customHeight="false" outlineLevel="0" collapsed="false">
      <c r="A5" s="3" t="s">
        <v>172</v>
      </c>
      <c r="B5" s="8" t="n">
        <v>60000</v>
      </c>
      <c r="C5" s="8" t="n">
        <v>120000</v>
      </c>
      <c r="D5" s="2" t="s">
        <v>173</v>
      </c>
    </row>
    <row r="6" customFormat="false" ht="15" hidden="false" customHeight="false" outlineLevel="0" collapsed="false">
      <c r="A6" s="3" t="s">
        <v>174</v>
      </c>
      <c r="B6" s="8" t="n">
        <v>100000</v>
      </c>
      <c r="C6" s="8" t="n">
        <v>200000</v>
      </c>
      <c r="D6" s="2" t="s">
        <v>175</v>
      </c>
    </row>
    <row r="7" customFormat="false" ht="15" hidden="false" customHeight="false" outlineLevel="0" collapsed="false">
      <c r="A7" s="3" t="s">
        <v>176</v>
      </c>
      <c r="B7" s="18" t="n">
        <f aca="false">Assumptions!B48*Assumptions!B41</f>
        <v>340000</v>
      </c>
      <c r="C7" s="8" t="n">
        <v>425000</v>
      </c>
      <c r="D7" s="2" t="s">
        <v>177</v>
      </c>
    </row>
    <row r="8" customFormat="false" ht="15" hidden="false" customHeight="false" outlineLevel="0" collapsed="false">
      <c r="A8" s="3" t="s">
        <v>178</v>
      </c>
      <c r="B8" s="18" t="n">
        <f aca="false">Assumptions!B47*(Assumptions!B46-Assumptions!B45)</f>
        <v>223718.5</v>
      </c>
      <c r="C8" s="8" t="n">
        <v>450000</v>
      </c>
      <c r="D8" s="2" t="s">
        <v>179</v>
      </c>
    </row>
    <row r="9" customFormat="false" ht="15" hidden="false" customHeight="false" outlineLevel="0" collapsed="false">
      <c r="A9" s="3" t="s">
        <v>180</v>
      </c>
      <c r="B9" s="18" t="n">
        <f aca="false">Assumptions!B42*Assumptions!B43</f>
        <v>145682.7</v>
      </c>
      <c r="C9" s="18" t="n">
        <f aca="false">Assumptions!B42*Assumptions!B44</f>
        <v>291365.4</v>
      </c>
      <c r="D9" s="2" t="s">
        <v>181</v>
      </c>
    </row>
    <row r="10" customFormat="false" ht="15" hidden="false" customHeight="false" outlineLevel="0" collapsed="false">
      <c r="A10" s="3" t="s">
        <v>182</v>
      </c>
      <c r="B10" s="8" t="n">
        <v>100000</v>
      </c>
      <c r="C10" s="8" t="n">
        <v>250000</v>
      </c>
      <c r="D10" s="2" t="s">
        <v>183</v>
      </c>
    </row>
    <row r="11" customFormat="false" ht="15" hidden="false" customHeight="false" outlineLevel="0" collapsed="false">
      <c r="A11" s="3" t="s">
        <v>184</v>
      </c>
      <c r="B11" s="8" t="n">
        <v>50000</v>
      </c>
      <c r="C11" s="8" t="n">
        <v>150000</v>
      </c>
      <c r="D11" s="2" t="s">
        <v>185</v>
      </c>
    </row>
    <row r="12" customFormat="false" ht="15" hidden="false" customHeight="false" outlineLevel="0" collapsed="false">
      <c r="A12" s="3" t="s">
        <v>186</v>
      </c>
      <c r="B12" s="8" t="n">
        <v>100000</v>
      </c>
      <c r="C12" s="8" t="n">
        <v>300000</v>
      </c>
      <c r="D12" s="2" t="s">
        <v>187</v>
      </c>
    </row>
    <row r="13" customFormat="false" ht="15" hidden="false" customHeight="false" outlineLevel="0" collapsed="false">
      <c r="A13" s="3" t="s">
        <v>188</v>
      </c>
      <c r="B13" s="18" t="n">
        <f aca="false">Growth_Model!B11</f>
        <v>63390</v>
      </c>
      <c r="C13" s="18" t="n">
        <f aca="false">Growth_Model!D11</f>
        <v>117032</v>
      </c>
      <c r="D13" s="2" t="s">
        <v>189</v>
      </c>
    </row>
    <row r="14" customFormat="false" ht="15" hidden="false" customHeight="false" outlineLevel="0" collapsed="false">
      <c r="A14" s="3" t="s">
        <v>190</v>
      </c>
      <c r="B14" s="8" t="n">
        <v>170000</v>
      </c>
      <c r="C14" s="8" t="n">
        <v>255000</v>
      </c>
      <c r="D14" s="2" t="s">
        <v>191</v>
      </c>
    </row>
    <row r="15" customFormat="false" ht="15" hidden="false" customHeight="false" outlineLevel="0" collapsed="false">
      <c r="A15" s="21" t="s">
        <v>192</v>
      </c>
      <c r="B15" s="23" t="n">
        <f aca="false">SUM(B4:B14)</f>
        <v>1665953.6</v>
      </c>
      <c r="C15" s="23" t="n">
        <f aca="false">SUM(C4:C14)</f>
        <v>3008397.4</v>
      </c>
    </row>
    <row r="17" customFormat="false" ht="15" hidden="false" customHeight="false" outlineLevel="0" collapsed="false">
      <c r="A17" s="4" t="s">
        <v>193</v>
      </c>
    </row>
    <row r="18" customFormat="false" ht="15" hidden="false" customHeight="false" outlineLevel="0" collapsed="false">
      <c r="A18" s="3" t="s">
        <v>194</v>
      </c>
      <c r="B18" s="9" t="n">
        <f aca="false">(B15+C15)/2</f>
        <v>2337175.5</v>
      </c>
    </row>
    <row r="19" customFormat="false" ht="15" hidden="false" customHeight="false" outlineLevel="0" collapsed="false">
      <c r="A19" s="3" t="s">
        <v>195</v>
      </c>
      <c r="B19" s="14" t="n">
        <v>1100000</v>
      </c>
    </row>
    <row r="20" customFormat="false" ht="15" hidden="false" customHeight="false" outlineLevel="0" collapsed="false">
      <c r="A20" s="3" t="s">
        <v>196</v>
      </c>
      <c r="B20" s="14" t="n">
        <v>2100000</v>
      </c>
    </row>
    <row r="21" customFormat="false" ht="15" hidden="false" customHeight="false" outlineLevel="0" collapsed="false">
      <c r="A21" s="3" t="s">
        <v>197</v>
      </c>
      <c r="B21" s="9" t="n">
        <f aca="false">(B19+B20)/2</f>
        <v>1600000</v>
      </c>
    </row>
    <row r="22" customFormat="false" ht="15" hidden="false" customHeight="false" outlineLevel="0" collapsed="false">
      <c r="A22" s="3" t="s">
        <v>198</v>
      </c>
      <c r="B22" s="18" t="n">
        <f aca="false">GF_Summary!D16</f>
        <v>1145561</v>
      </c>
    </row>
    <row r="23" customFormat="false" ht="15" hidden="false" customHeight="false" outlineLevel="0" collapsed="false">
      <c r="A23" s="3" t="s">
        <v>199</v>
      </c>
      <c r="B23" s="18" t="n">
        <f aca="false">Closure_Model!B20</f>
        <v>361240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4"/>
  </cols>
  <sheetData>
    <row r="1" customFormat="false" ht="16.1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2" t="s">
        <v>201</v>
      </c>
    </row>
    <row r="4" customFormat="false" ht="15" hidden="false" customHeight="false" outlineLevel="0" collapsed="false">
      <c r="A4" s="17" t="s">
        <v>202</v>
      </c>
      <c r="B4" s="17" t="s">
        <v>203</v>
      </c>
      <c r="C4" s="17" t="s">
        <v>204</v>
      </c>
      <c r="D4" s="17" t="s">
        <v>205</v>
      </c>
      <c r="E4" s="17" t="s">
        <v>206</v>
      </c>
      <c r="F4" s="17" t="s">
        <v>207</v>
      </c>
    </row>
    <row r="5" customFormat="false" ht="15" hidden="false" customHeight="false" outlineLevel="0" collapsed="false">
      <c r="A5" s="3" t="s">
        <v>208</v>
      </c>
      <c r="B5" s="8" t="n">
        <v>2255000</v>
      </c>
      <c r="C5" s="3" t="s">
        <v>209</v>
      </c>
      <c r="D5" s="3" t="s">
        <v>210</v>
      </c>
      <c r="E5" s="8" t="n">
        <v>348000</v>
      </c>
      <c r="F5" s="25"/>
    </row>
    <row r="6" customFormat="false" ht="22.35" hidden="false" customHeight="false" outlineLevel="0" collapsed="false">
      <c r="A6" s="3" t="s">
        <v>211</v>
      </c>
      <c r="B6" s="8" t="n">
        <v>468000</v>
      </c>
      <c r="C6" s="3" t="s">
        <v>212</v>
      </c>
      <c r="D6" s="3" t="s">
        <v>213</v>
      </c>
      <c r="E6" s="8" t="n">
        <v>585000</v>
      </c>
      <c r="F6" s="25" t="s">
        <v>214</v>
      </c>
    </row>
    <row r="7" customFormat="false" ht="22.35" hidden="false" customHeight="false" outlineLevel="0" collapsed="false">
      <c r="A7" s="3" t="s">
        <v>215</v>
      </c>
      <c r="B7" s="8" t="n">
        <v>5700000</v>
      </c>
      <c r="C7" s="3" t="s">
        <v>216</v>
      </c>
      <c r="D7" s="3" t="s">
        <v>217</v>
      </c>
      <c r="E7" s="8" t="n">
        <v>3145000</v>
      </c>
      <c r="F7" s="25" t="s">
        <v>218</v>
      </c>
    </row>
    <row r="8" customFormat="false" ht="15" hidden="false" customHeight="false" outlineLevel="0" collapsed="false">
      <c r="A8" s="3" t="s">
        <v>219</v>
      </c>
      <c r="B8" s="8" t="n">
        <v>1850000</v>
      </c>
      <c r="C8" s="3" t="s">
        <v>220</v>
      </c>
      <c r="D8" s="3" t="s">
        <v>221</v>
      </c>
      <c r="E8" s="8" t="n">
        <v>1560000</v>
      </c>
      <c r="F8" s="25"/>
    </row>
    <row r="9" customFormat="false" ht="22.35" hidden="false" customHeight="false" outlineLevel="0" collapsed="false">
      <c r="A9" s="3" t="s">
        <v>222</v>
      </c>
      <c r="B9" s="8" t="n">
        <v>3620000</v>
      </c>
      <c r="C9" s="3" t="s">
        <v>223</v>
      </c>
      <c r="D9" s="3" t="s">
        <v>224</v>
      </c>
      <c r="E9" s="8" t="n">
        <v>3405000</v>
      </c>
      <c r="F9" s="25" t="s">
        <v>225</v>
      </c>
    </row>
    <row r="10" customFormat="false" ht="15" hidden="false" customHeight="false" outlineLevel="0" collapsed="false">
      <c r="A10" s="3" t="s">
        <v>226</v>
      </c>
      <c r="B10" s="8" t="n">
        <v>810000</v>
      </c>
      <c r="C10" s="3" t="s">
        <v>227</v>
      </c>
      <c r="D10" s="3" t="s">
        <v>228</v>
      </c>
      <c r="E10" s="8" t="n">
        <v>755000</v>
      </c>
      <c r="F10" s="25" t="s">
        <v>229</v>
      </c>
    </row>
    <row r="11" customFormat="false" ht="22.35" hidden="false" customHeight="false" outlineLevel="0" collapsed="false">
      <c r="A11" s="3" t="s">
        <v>230</v>
      </c>
      <c r="B11" s="8" t="n">
        <v>6055000</v>
      </c>
      <c r="C11" s="3" t="s">
        <v>231</v>
      </c>
      <c r="D11" s="3" t="s">
        <v>232</v>
      </c>
      <c r="E11" s="8" t="n">
        <v>5945290</v>
      </c>
      <c r="F11" s="25" t="s">
        <v>233</v>
      </c>
    </row>
    <row r="12" customFormat="false" ht="15" hidden="false" customHeight="false" outlineLevel="0" collapsed="false">
      <c r="A12" s="21" t="s">
        <v>234</v>
      </c>
      <c r="B12" s="23" t="n">
        <f aca="false">SUM(B5:B11)</f>
        <v>20758000</v>
      </c>
      <c r="E12" s="23" t="n">
        <f aca="false">SUM(E5:E11)</f>
        <v>15743290</v>
      </c>
    </row>
    <row r="14" customFormat="false" ht="15" hidden="false" customHeight="false" outlineLevel="0" collapsed="false">
      <c r="A14" s="4" t="s">
        <v>235</v>
      </c>
    </row>
    <row r="15" customFormat="false" ht="15" hidden="false" customHeight="false" outlineLevel="0" collapsed="false">
      <c r="A15" s="3" t="s">
        <v>236</v>
      </c>
      <c r="B15" s="8" t="n">
        <v>1150216</v>
      </c>
    </row>
    <row r="16" customFormat="false" ht="15" hidden="false" customHeight="false" outlineLevel="0" collapsed="false">
      <c r="A16" s="3" t="s">
        <v>237</v>
      </c>
      <c r="B16" s="8" t="n">
        <v>1578700</v>
      </c>
    </row>
    <row r="17" customFormat="false" ht="15" hidden="false" customHeight="false" outlineLevel="0" collapsed="false">
      <c r="A17" s="3" t="s">
        <v>238</v>
      </c>
      <c r="B17" s="9" t="n">
        <f aca="false">B16-B15</f>
        <v>428484</v>
      </c>
    </row>
    <row r="18" customFormat="false" ht="15" hidden="false" customHeight="false" outlineLevel="0" collapsed="false">
      <c r="A18" s="3" t="s">
        <v>239</v>
      </c>
      <c r="B18" s="8" t="n">
        <v>1846159</v>
      </c>
    </row>
    <row r="19" customFormat="false" ht="15" hidden="false" customHeight="false" outlineLevel="0" collapsed="false">
      <c r="A19" s="3" t="s">
        <v>240</v>
      </c>
      <c r="B19" s="8" t="n">
        <v>1568809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4" customFormat="false" ht="15" hidden="false" customHeight="false" outlineLevel="0" collapsed="false">
      <c r="A4" s="17" t="s">
        <v>243</v>
      </c>
      <c r="B4" s="17" t="s">
        <v>244</v>
      </c>
      <c r="C4" s="17" t="s">
        <v>152</v>
      </c>
      <c r="D4" s="17" t="s">
        <v>153</v>
      </c>
      <c r="E4" s="17" t="s">
        <v>154</v>
      </c>
    </row>
    <row r="5" customFormat="false" ht="15" hidden="false" customHeight="false" outlineLevel="0" collapsed="false">
      <c r="A5" s="3" t="s">
        <v>245</v>
      </c>
      <c r="B5" s="9" t="n">
        <f aca="false">GF_Summary!D9-GF_Summary!$D$16</f>
        <v>3145279</v>
      </c>
      <c r="C5" s="9" t="n">
        <f aca="false">B5-GF_Summary!$D$16</f>
        <v>1999718</v>
      </c>
      <c r="D5" s="9" t="n">
        <f aca="false">C5-GF_Summary!$D$16</f>
        <v>854157</v>
      </c>
      <c r="E5" s="9" t="n">
        <f aca="false">D5-GF_Summary!$D$16</f>
        <v>-291404</v>
      </c>
    </row>
    <row r="6" customFormat="false" ht="15" hidden="false" customHeight="false" outlineLevel="0" collapsed="false">
      <c r="A6" s="3" t="s">
        <v>246</v>
      </c>
      <c r="B6" s="9" t="n">
        <f aca="false">GF_Summary!D9-GF_Summary!$D$16</f>
        <v>3145279</v>
      </c>
      <c r="C6" s="9" t="n">
        <f aca="false">B6-GF_Summary!$D$16+0.5*Alternatives!$B$21</f>
        <v>2799718</v>
      </c>
      <c r="D6" s="9" t="n">
        <f aca="false">C6-GF_Summary!$D$16+Alternatives!$B$21</f>
        <v>3254157</v>
      </c>
      <c r="E6" s="9" t="n">
        <f aca="false">D6-GF_Summary!$D$16+Alternatives!$B$21</f>
        <v>3708596</v>
      </c>
    </row>
    <row r="7" customFormat="false" ht="15" hidden="false" customHeight="false" outlineLevel="0" collapsed="false">
      <c r="A7" s="3" t="s">
        <v>247</v>
      </c>
      <c r="B7" s="9" t="n">
        <f aca="false">GF_Summary!D9-GF_Summary!$D$16</f>
        <v>3145279</v>
      </c>
      <c r="C7" s="9" t="n">
        <f aca="false">B7-GF_Summary!$D$16+Closure_Model!$B$20</f>
        <v>2360958</v>
      </c>
      <c r="D7" s="9" t="n">
        <f aca="false">C7-GF_Summary!$D$16+Closure_Model!$B$20</f>
        <v>1576637</v>
      </c>
      <c r="E7" s="9" t="n">
        <f aca="false">D7-GF_Summary!$D$16+Closure_Model!$B$20</f>
        <v>792316</v>
      </c>
    </row>
    <row r="8" customFormat="false" ht="15" hidden="false" customHeight="false" outlineLevel="0" collapsed="false">
      <c r="A8" s="3" t="s">
        <v>248</v>
      </c>
      <c r="B8" s="18" t="n">
        <f aca="false">GF_Summary!$D$14</f>
        <v>581948.08</v>
      </c>
      <c r="C8" s="18" t="n">
        <f aca="false">GF_Summary!$D$14</f>
        <v>581948.08</v>
      </c>
      <c r="D8" s="18" t="n">
        <f aca="false">GF_Summary!$D$14</f>
        <v>581948.08</v>
      </c>
      <c r="E8" s="18" t="n">
        <f aca="false">GF_Summary!$D$14</f>
        <v>581948.08</v>
      </c>
    </row>
    <row r="10" customFormat="false" ht="32.8" hidden="false" customHeight="false" outlineLevel="0" collapsed="false">
      <c r="A10" s="25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3"/>
    <col collapsed="false" customWidth="true" hidden="false" outlineLevel="0" max="5" min="5" style="0" width="6"/>
    <col collapsed="false" customWidth="true" hidden="false" outlineLevel="0" max="6" min="6" style="0" width="13"/>
    <col collapsed="false" customWidth="true" hidden="false" outlineLevel="0" max="7" min="7" style="0" width="48"/>
  </cols>
  <sheetData>
    <row r="1" customFormat="false" ht="16.1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251</v>
      </c>
    </row>
    <row r="4" customFormat="false" ht="15" hidden="false" customHeight="false" outlineLevel="0" collapsed="false">
      <c r="A4" s="4" t="s">
        <v>252</v>
      </c>
    </row>
    <row r="5" customFormat="false" ht="32.8" hidden="false" customHeight="false" outlineLevel="0" collapsed="false">
      <c r="A5" s="3" t="s">
        <v>219</v>
      </c>
      <c r="B5" s="26" t="n">
        <v>61.3</v>
      </c>
      <c r="G5" s="25" t="s">
        <v>253</v>
      </c>
    </row>
    <row r="6" customFormat="false" ht="15" hidden="false" customHeight="false" outlineLevel="0" collapsed="false">
      <c r="A6" s="3" t="s">
        <v>254</v>
      </c>
      <c r="B6" s="26" t="n">
        <v>60.6</v>
      </c>
    </row>
    <row r="7" customFormat="false" ht="15" hidden="false" customHeight="false" outlineLevel="0" collapsed="false">
      <c r="A7" s="3" t="s">
        <v>222</v>
      </c>
      <c r="B7" s="26" t="n">
        <v>55.9</v>
      </c>
    </row>
    <row r="8" customFormat="false" ht="15" hidden="false" customHeight="false" outlineLevel="0" collapsed="false">
      <c r="A8" s="3" t="s">
        <v>255</v>
      </c>
      <c r="B8" s="26" t="n">
        <v>54.2</v>
      </c>
    </row>
    <row r="9" customFormat="false" ht="15" hidden="false" customHeight="false" outlineLevel="0" collapsed="false">
      <c r="A9" s="3" t="s">
        <v>256</v>
      </c>
      <c r="B9" s="26" t="n">
        <v>49.2</v>
      </c>
    </row>
    <row r="10" customFormat="false" ht="15" hidden="false" customHeight="false" outlineLevel="0" collapsed="false">
      <c r="A10" s="3" t="s">
        <v>226</v>
      </c>
      <c r="B10" s="26" t="n">
        <v>52.4</v>
      </c>
    </row>
    <row r="11" customFormat="false" ht="15" hidden="false" customHeight="false" outlineLevel="0" collapsed="false">
      <c r="A11" s="3" t="s">
        <v>230</v>
      </c>
      <c r="B11" s="26" t="n">
        <v>52.4</v>
      </c>
    </row>
    <row r="12" customFormat="false" ht="15" hidden="false" customHeight="false" outlineLevel="0" collapsed="false">
      <c r="A12" s="3" t="s">
        <v>257</v>
      </c>
      <c r="B12" s="26" t="n">
        <v>52.4</v>
      </c>
    </row>
    <row r="14" customFormat="false" ht="15" hidden="false" customHeight="false" outlineLevel="0" collapsed="false">
      <c r="A14" s="3" t="s">
        <v>258</v>
      </c>
      <c r="B14" s="26" t="n">
        <v>64.5</v>
      </c>
    </row>
    <row r="15" customFormat="false" ht="15" hidden="false" customHeight="false" outlineLevel="0" collapsed="false">
      <c r="A15" s="3" t="s">
        <v>259</v>
      </c>
      <c r="B15" s="26" t="n">
        <v>54.7</v>
      </c>
    </row>
    <row r="16" customFormat="false" ht="15" hidden="false" customHeight="false" outlineLevel="0" collapsed="false">
      <c r="A16" s="3" t="s">
        <v>260</v>
      </c>
      <c r="B16" s="13" t="n">
        <v>0.03</v>
      </c>
    </row>
    <row r="18" customFormat="false" ht="15" hidden="false" customHeight="false" outlineLevel="0" collapsed="false">
      <c r="A18" s="4" t="s">
        <v>261</v>
      </c>
    </row>
    <row r="19" customFormat="false" ht="43.25" hidden="false" customHeight="false" outlineLevel="0" collapsed="false">
      <c r="A19" s="3" t="s">
        <v>262</v>
      </c>
      <c r="B19" s="26" t="n">
        <v>80.9</v>
      </c>
      <c r="G19" s="25" t="s">
        <v>263</v>
      </c>
    </row>
    <row r="20" customFormat="false" ht="15" hidden="false" customHeight="false" outlineLevel="0" collapsed="false">
      <c r="A20" s="3" t="s">
        <v>264</v>
      </c>
      <c r="B20" s="26" t="n">
        <v>71.5</v>
      </c>
    </row>
    <row r="21" customFormat="false" ht="15" hidden="false" customHeight="false" outlineLevel="0" collapsed="false">
      <c r="A21" s="3" t="s">
        <v>265</v>
      </c>
      <c r="B21" s="26" t="n">
        <v>66.8</v>
      </c>
    </row>
    <row r="22" customFormat="false" ht="15" hidden="false" customHeight="false" outlineLevel="0" collapsed="false">
      <c r="A22" s="3" t="s">
        <v>266</v>
      </c>
      <c r="B22" s="26" t="n">
        <v>63.4</v>
      </c>
    </row>
    <row r="23" customFormat="false" ht="15" hidden="false" customHeight="false" outlineLevel="0" collapsed="false">
      <c r="A23" s="3" t="s">
        <v>267</v>
      </c>
      <c r="B23" s="26" t="n">
        <v>62.9</v>
      </c>
    </row>
    <row r="24" customFormat="false" ht="15" hidden="false" customHeight="false" outlineLevel="0" collapsed="false">
      <c r="A24" s="3" t="s">
        <v>268</v>
      </c>
      <c r="B24" s="26" t="n">
        <v>57.7</v>
      </c>
    </row>
    <row r="25" customFormat="false" ht="15" hidden="false" customHeight="false" outlineLevel="0" collapsed="false">
      <c r="A25" s="3" t="s">
        <v>269</v>
      </c>
      <c r="B25" s="26" t="n">
        <v>52.5</v>
      </c>
    </row>
    <row r="26" customFormat="false" ht="15" hidden="false" customHeight="false" outlineLevel="0" collapsed="false">
      <c r="A26" s="3" t="s">
        <v>270</v>
      </c>
      <c r="B26" s="26" t="n">
        <v>52.4</v>
      </c>
    </row>
    <row r="27" customFormat="false" ht="15" hidden="false" customHeight="false" outlineLevel="0" collapsed="false">
      <c r="A27" s="3" t="s">
        <v>271</v>
      </c>
      <c r="B27" s="26" t="n">
        <v>43.1</v>
      </c>
    </row>
    <row r="28" customFormat="false" ht="15" hidden="false" customHeight="false" outlineLevel="0" collapsed="false">
      <c r="A28" s="3" t="s">
        <v>272</v>
      </c>
      <c r="B28" s="26" t="n">
        <v>65.13</v>
      </c>
    </row>
    <row r="31" customFormat="false" ht="15" hidden="false" customHeight="false" outlineLevel="0" collapsed="false">
      <c r="A31" s="4" t="s">
        <v>273</v>
      </c>
    </row>
    <row r="32" customFormat="false" ht="22.35" hidden="false" customHeight="false" outlineLevel="0" collapsed="false">
      <c r="A32" s="3" t="s">
        <v>274</v>
      </c>
      <c r="B32" s="8" t="n">
        <v>7829060</v>
      </c>
      <c r="G32" s="25" t="s">
        <v>275</v>
      </c>
    </row>
    <row r="33" customFormat="false" ht="15" hidden="false" customHeight="false" outlineLevel="0" collapsed="false">
      <c r="A33" s="3" t="s">
        <v>276</v>
      </c>
      <c r="B33" s="8" t="n">
        <v>2052786</v>
      </c>
    </row>
    <row r="34" customFormat="false" ht="15" hidden="false" customHeight="false" outlineLevel="0" collapsed="false">
      <c r="A34" s="3" t="s">
        <v>277</v>
      </c>
      <c r="B34" s="9" t="n">
        <f aca="false">B32+B33</f>
        <v>9881846</v>
      </c>
    </row>
    <row r="35" customFormat="false" ht="15" hidden="false" customHeight="false" outlineLevel="0" collapsed="false">
      <c r="A35" s="3" t="s">
        <v>278</v>
      </c>
      <c r="B35" s="8" t="n">
        <v>7150498</v>
      </c>
    </row>
    <row r="36" customFormat="false" ht="15" hidden="false" customHeight="false" outlineLevel="0" collapsed="false">
      <c r="A36" s="3" t="s">
        <v>279</v>
      </c>
      <c r="B36" s="8" t="n">
        <v>26449318</v>
      </c>
    </row>
    <row r="37" customFormat="false" ht="15" hidden="false" customHeight="false" outlineLevel="0" collapsed="false">
      <c r="A37" s="3" t="s">
        <v>280</v>
      </c>
      <c r="B37" s="8" t="n">
        <v>2648086</v>
      </c>
    </row>
    <row r="38" customFormat="false" ht="15" hidden="false" customHeight="false" outlineLevel="0" collapsed="false">
      <c r="A38" s="3" t="s">
        <v>281</v>
      </c>
      <c r="B38" s="9" t="n">
        <f aca="false">B36+B37</f>
        <v>29097404</v>
      </c>
    </row>
    <row r="39" customFormat="false" ht="15" hidden="false" customHeight="false" outlineLevel="0" collapsed="false">
      <c r="A39" s="3" t="s">
        <v>282</v>
      </c>
      <c r="B39" s="19" t="n">
        <f aca="false">B32/B38</f>
        <v>0.2690638656287</v>
      </c>
    </row>
    <row r="41" customFormat="false" ht="15" hidden="false" customHeight="false" outlineLevel="0" collapsed="false">
      <c r="A41" s="4" t="s">
        <v>283</v>
      </c>
      <c r="B41" s="21" t="s">
        <v>109</v>
      </c>
      <c r="C41" s="21" t="s">
        <v>110</v>
      </c>
    </row>
    <row r="42" customFormat="false" ht="15" hidden="false" customHeight="false" outlineLevel="0" collapsed="false">
      <c r="A42" s="3" t="s">
        <v>284</v>
      </c>
      <c r="B42" s="8" t="n">
        <v>10556809</v>
      </c>
      <c r="C42" s="8" t="n">
        <v>9880143</v>
      </c>
    </row>
    <row r="43" customFormat="false" ht="15" hidden="false" customHeight="false" outlineLevel="0" collapsed="false">
      <c r="A43" s="3" t="s">
        <v>285</v>
      </c>
      <c r="B43" s="8" t="n">
        <v>10168969</v>
      </c>
      <c r="C43" s="8" t="n">
        <v>9641017</v>
      </c>
    </row>
    <row r="44" customFormat="false" ht="15" hidden="false" customHeight="false" outlineLevel="0" collapsed="false">
      <c r="A44" s="3" t="s">
        <v>286</v>
      </c>
      <c r="B44" s="9" t="n">
        <f aca="false">B42-B43</f>
        <v>387840</v>
      </c>
      <c r="C44" s="9" t="n">
        <f aca="false">C42-C43</f>
        <v>239126</v>
      </c>
    </row>
    <row r="45" customFormat="false" ht="15" hidden="false" customHeight="false" outlineLevel="0" collapsed="false">
      <c r="A45" s="3" t="s">
        <v>287</v>
      </c>
      <c r="B45" s="19" t="n">
        <f aca="false">B44/B42</f>
        <v>0.0367383742568422</v>
      </c>
      <c r="C45" s="19" t="n">
        <f aca="false">C44/C42</f>
        <v>0.0242026861352108</v>
      </c>
    </row>
    <row r="47" customFormat="false" ht="15" hidden="false" customHeight="false" outlineLevel="0" collapsed="false">
      <c r="A47" s="4" t="s">
        <v>288</v>
      </c>
    </row>
    <row r="48" customFormat="false" ht="32.8" hidden="false" customHeight="false" outlineLevel="0" collapsed="false">
      <c r="A48" s="3" t="s">
        <v>289</v>
      </c>
      <c r="B48" s="18" t="n">
        <f aca="false">C43</f>
        <v>9641017</v>
      </c>
      <c r="G48" s="25" t="s">
        <v>290</v>
      </c>
    </row>
    <row r="49" customFormat="false" ht="15" hidden="false" customHeight="false" outlineLevel="0" collapsed="false">
      <c r="A49" s="3" t="s">
        <v>291</v>
      </c>
      <c r="B49" s="13" t="n">
        <v>0.04</v>
      </c>
    </row>
    <row r="50" customFormat="false" ht="15" hidden="false" customHeight="false" outlineLevel="0" collapsed="false">
      <c r="A50" s="3" t="s">
        <v>292</v>
      </c>
      <c r="B50" s="9" t="n">
        <f aca="false">B48*B49</f>
        <v>385640.68</v>
      </c>
    </row>
    <row r="51" customFormat="false" ht="15" hidden="false" customHeight="false" outlineLevel="0" collapsed="false">
      <c r="A51" s="3" t="s">
        <v>293</v>
      </c>
      <c r="B51" s="9" t="n">
        <f aca="false">(B48+B50)*B49</f>
        <v>401066.3072</v>
      </c>
    </row>
    <row r="52" customFormat="false" ht="15" hidden="false" customHeight="false" outlineLevel="0" collapsed="false">
      <c r="A52" s="3" t="s">
        <v>294</v>
      </c>
      <c r="B52" s="9" t="n">
        <f aca="false">(B48+B50+B51)*B49</f>
        <v>417108.959488</v>
      </c>
    </row>
    <row r="53" customFormat="false" ht="15" hidden="false" customHeight="false" outlineLevel="0" collapsed="false">
      <c r="A53" s="3" t="s">
        <v>295</v>
      </c>
      <c r="B53" s="9" t="n">
        <f aca="false">B50+B51+B52</f>
        <v>1203815.946688</v>
      </c>
    </row>
    <row r="54" customFormat="false" ht="15" hidden="false" customHeight="false" outlineLevel="0" collapsed="false">
      <c r="A54" s="3" t="s">
        <v>142</v>
      </c>
      <c r="B54" s="19" t="n">
        <f aca="false">B53/(Assumptions!B24-Assumptions!B21)</f>
        <v>0.454598508767464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8"/>
    <col collapsed="false" customWidth="true" hidden="false" outlineLevel="0" max="7" min="7" style="0" width="6"/>
    <col collapsed="false" customWidth="true" hidden="false" outlineLevel="0" max="9" min="8" style="0" width="8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15" hidden="false" customHeight="false" outlineLevel="0" collapsed="false">
      <c r="A4" s="4" t="s">
        <v>298</v>
      </c>
    </row>
    <row r="5" customFormat="false" ht="22.35" hidden="false" customHeight="false" outlineLevel="0" collapsed="false">
      <c r="A5" s="3" t="s">
        <v>299</v>
      </c>
      <c r="B5" s="10" t="n">
        <v>18476</v>
      </c>
      <c r="J5" s="25" t="s">
        <v>300</v>
      </c>
    </row>
    <row r="6" customFormat="false" ht="15" hidden="false" customHeight="false" outlineLevel="0" collapsed="false">
      <c r="A6" s="3" t="s">
        <v>301</v>
      </c>
      <c r="B6" s="10" t="n">
        <v>19405</v>
      </c>
    </row>
    <row r="7" customFormat="false" ht="15" hidden="false" customHeight="false" outlineLevel="0" collapsed="false">
      <c r="A7" s="3" t="s">
        <v>302</v>
      </c>
      <c r="B7" s="10" t="n">
        <v>19247</v>
      </c>
    </row>
    <row r="8" customFormat="false" ht="15" hidden="false" customHeight="false" outlineLevel="0" collapsed="false">
      <c r="A8" s="3" t="s">
        <v>303</v>
      </c>
      <c r="B8" s="10" t="n">
        <v>19352</v>
      </c>
    </row>
    <row r="9" customFormat="false" ht="15" hidden="false" customHeight="false" outlineLevel="0" collapsed="false">
      <c r="A9" s="3" t="s">
        <v>304</v>
      </c>
      <c r="B9" s="10" t="n">
        <v>19985</v>
      </c>
    </row>
    <row r="10" customFormat="false" ht="15" hidden="false" customHeight="false" outlineLevel="0" collapsed="false">
      <c r="A10" s="3" t="s">
        <v>222</v>
      </c>
      <c r="B10" s="10" t="n">
        <v>20252</v>
      </c>
    </row>
    <row r="11" customFormat="false" ht="15" hidden="false" customHeight="false" outlineLevel="0" collapsed="false">
      <c r="A11" s="3" t="s">
        <v>305</v>
      </c>
      <c r="B11" s="10" t="n">
        <v>20337</v>
      </c>
    </row>
    <row r="12" customFormat="false" ht="15" hidden="false" customHeight="false" outlineLevel="0" collapsed="false">
      <c r="A12" s="3" t="s">
        <v>306</v>
      </c>
      <c r="B12" s="10" t="n">
        <v>19352</v>
      </c>
    </row>
    <row r="13" customFormat="false" ht="15" hidden="false" customHeight="false" outlineLevel="0" collapsed="false">
      <c r="A13" s="3" t="s">
        <v>307</v>
      </c>
      <c r="B13" s="11" t="n">
        <f aca="false">B10-B5</f>
        <v>1776</v>
      </c>
    </row>
    <row r="14" customFormat="false" ht="15" hidden="false" customHeight="false" outlineLevel="0" collapsed="false">
      <c r="A14" s="3" t="s">
        <v>308</v>
      </c>
      <c r="B14" s="19" t="n">
        <f aca="false">B13/B5</f>
        <v>0.0961247023165187</v>
      </c>
    </row>
    <row r="16" customFormat="false" ht="15" hidden="false" customHeight="false" outlineLevel="0" collapsed="false">
      <c r="A16" s="4" t="s">
        <v>309</v>
      </c>
    </row>
    <row r="17" customFormat="false" ht="15" hidden="false" customHeight="false" outlineLevel="0" collapsed="false">
      <c r="A17" s="3" t="s">
        <v>310</v>
      </c>
      <c r="B17" s="10" t="n">
        <v>57155</v>
      </c>
      <c r="C17" s="2" t="s">
        <v>311</v>
      </c>
    </row>
    <row r="18" customFormat="false" ht="15" hidden="false" customHeight="false" outlineLevel="0" collapsed="false">
      <c r="A18" s="3" t="s">
        <v>312</v>
      </c>
      <c r="B18" s="10" t="n">
        <v>322570</v>
      </c>
      <c r="C18" s="2" t="s">
        <v>313</v>
      </c>
    </row>
    <row r="19" customFormat="false" ht="15" hidden="false" customHeight="false" outlineLevel="0" collapsed="false">
      <c r="A19" s="3" t="s">
        <v>314</v>
      </c>
      <c r="B19" s="10" t="n">
        <v>36972</v>
      </c>
      <c r="C19" s="2" t="s">
        <v>315</v>
      </c>
    </row>
    <row r="20" customFormat="false" ht="15" hidden="false" customHeight="false" outlineLevel="0" collapsed="false">
      <c r="A20" s="3" t="s">
        <v>316</v>
      </c>
      <c r="B20" s="10" t="n">
        <v>28000</v>
      </c>
      <c r="C20" s="2" t="s">
        <v>315</v>
      </c>
    </row>
    <row r="21" customFormat="false" ht="15" hidden="false" customHeight="false" outlineLevel="0" collapsed="false">
      <c r="A21" s="3" t="s">
        <v>317</v>
      </c>
      <c r="B21" s="10" t="n">
        <v>18692</v>
      </c>
      <c r="C21" s="2" t="s">
        <v>318</v>
      </c>
    </row>
    <row r="22" customFormat="false" ht="15" hidden="false" customHeight="false" outlineLevel="0" collapsed="false">
      <c r="A22" s="3" t="s">
        <v>319</v>
      </c>
      <c r="B22" s="10" t="n">
        <v>12500</v>
      </c>
      <c r="C22" s="2" t="s">
        <v>320</v>
      </c>
    </row>
    <row r="23" customFormat="false" ht="15" hidden="false" customHeight="false" outlineLevel="0" collapsed="false">
      <c r="A23" s="3" t="s">
        <v>321</v>
      </c>
      <c r="B23" s="10" t="n">
        <v>7537</v>
      </c>
      <c r="C23" s="2" t="s">
        <v>320</v>
      </c>
    </row>
    <row r="24" customFormat="false" ht="15" hidden="false" customHeight="false" outlineLevel="0" collapsed="false">
      <c r="A24" s="3" t="s">
        <v>322</v>
      </c>
      <c r="B24" s="10" t="n">
        <v>20252</v>
      </c>
      <c r="C24" s="2" t="s">
        <v>323</v>
      </c>
    </row>
    <row r="26" customFormat="false" ht="15" hidden="false" customHeight="false" outlineLevel="0" collapsed="false">
      <c r="A26" s="4" t="s">
        <v>324</v>
      </c>
    </row>
    <row r="27" customFormat="false" ht="15" hidden="false" customHeight="false" outlineLevel="0" collapsed="false">
      <c r="A27" s="3" t="s">
        <v>303</v>
      </c>
      <c r="B27" s="10" t="n">
        <v>562</v>
      </c>
    </row>
    <row r="28" customFormat="false" ht="15" hidden="false" customHeight="false" outlineLevel="0" collapsed="false">
      <c r="A28" s="3" t="s">
        <v>325</v>
      </c>
      <c r="B28" s="10" t="n">
        <v>521</v>
      </c>
    </row>
    <row r="29" customFormat="false" ht="15" hidden="false" customHeight="false" outlineLevel="0" collapsed="false">
      <c r="A29" s="3" t="s">
        <v>222</v>
      </c>
      <c r="B29" s="10" t="n">
        <v>610</v>
      </c>
    </row>
    <row r="30" customFormat="false" ht="15" hidden="false" customHeight="false" outlineLevel="0" collapsed="false">
      <c r="A30" s="3" t="s">
        <v>305</v>
      </c>
      <c r="B30" s="10" t="n">
        <v>679</v>
      </c>
    </row>
    <row r="32" customFormat="false" ht="15" hidden="false" customHeight="false" outlineLevel="0" collapsed="false">
      <c r="A32" s="4" t="s">
        <v>326</v>
      </c>
    </row>
    <row r="33" customFormat="false" ht="22.35" hidden="false" customHeight="false" outlineLevel="0" collapsed="false">
      <c r="A33" s="3" t="s">
        <v>327</v>
      </c>
      <c r="B33" s="11" t="n">
        <f aca="false">MAX(F33:F51,I33:I50)</f>
        <v>261</v>
      </c>
      <c r="E33" s="21" t="s">
        <v>328</v>
      </c>
      <c r="F33" s="10" t="n">
        <v>261</v>
      </c>
      <c r="H33" s="21" t="s">
        <v>329</v>
      </c>
      <c r="I33" s="10" t="n">
        <v>224</v>
      </c>
      <c r="J33" s="25" t="s">
        <v>330</v>
      </c>
    </row>
    <row r="34" customFormat="false" ht="15" hidden="false" customHeight="false" outlineLevel="0" collapsed="false">
      <c r="A34" s="3" t="s">
        <v>331</v>
      </c>
      <c r="B34" s="11" t="n">
        <f aca="false">I50</f>
        <v>128</v>
      </c>
      <c r="E34" s="21" t="s">
        <v>302</v>
      </c>
      <c r="F34" s="10" t="n">
        <v>255</v>
      </c>
      <c r="H34" s="21" t="s">
        <v>332</v>
      </c>
      <c r="I34" s="10" t="n">
        <v>217</v>
      </c>
    </row>
    <row r="35" customFormat="false" ht="15" hidden="false" customHeight="false" outlineLevel="0" collapsed="false">
      <c r="A35" s="3" t="s">
        <v>333</v>
      </c>
      <c r="B35" s="11" t="n">
        <f aca="false">B33-B34</f>
        <v>133</v>
      </c>
      <c r="E35" s="21" t="s">
        <v>334</v>
      </c>
      <c r="F35" s="10" t="n">
        <v>234</v>
      </c>
      <c r="H35" s="21" t="s">
        <v>304</v>
      </c>
      <c r="I35" s="10" t="n">
        <v>177</v>
      </c>
    </row>
    <row r="36" customFormat="false" ht="15" hidden="false" customHeight="false" outlineLevel="0" collapsed="false">
      <c r="A36" s="3" t="s">
        <v>335</v>
      </c>
      <c r="B36" s="19" t="n">
        <f aca="false">B35/B33</f>
        <v>0.509578544061303</v>
      </c>
      <c r="E36" s="21" t="s">
        <v>336</v>
      </c>
      <c r="F36" s="10" t="n">
        <v>225</v>
      </c>
      <c r="H36" s="21" t="s">
        <v>337</v>
      </c>
      <c r="I36" s="10" t="n">
        <v>165</v>
      </c>
    </row>
    <row r="37" customFormat="false" ht="15" hidden="false" customHeight="false" outlineLevel="0" collapsed="false">
      <c r="A37" s="3" t="s">
        <v>338</v>
      </c>
      <c r="B37" s="24" t="n">
        <f aca="false">Assumptions!B12</f>
        <v>174</v>
      </c>
      <c r="E37" s="21" t="s">
        <v>339</v>
      </c>
      <c r="F37" s="10" t="n">
        <v>202</v>
      </c>
      <c r="H37" s="21" t="s">
        <v>340</v>
      </c>
      <c r="I37" s="10" t="n">
        <v>167</v>
      </c>
    </row>
    <row r="38" customFormat="false" ht="15" hidden="false" customHeight="false" outlineLevel="0" collapsed="false">
      <c r="E38" s="21" t="s">
        <v>341</v>
      </c>
      <c r="F38" s="10" t="n">
        <v>203</v>
      </c>
      <c r="H38" s="21" t="s">
        <v>208</v>
      </c>
      <c r="I38" s="10" t="n">
        <v>154</v>
      </c>
    </row>
    <row r="39" customFormat="false" ht="15" hidden="false" customHeight="false" outlineLevel="0" collapsed="false">
      <c r="E39" s="21" t="s">
        <v>342</v>
      </c>
      <c r="F39" s="10" t="n">
        <v>182</v>
      </c>
      <c r="H39" s="21" t="s">
        <v>343</v>
      </c>
      <c r="I39" s="10" t="n">
        <v>154</v>
      </c>
    </row>
    <row r="40" customFormat="false" ht="15" hidden="false" customHeight="false" outlineLevel="0" collapsed="false">
      <c r="E40" s="21" t="s">
        <v>344</v>
      </c>
      <c r="F40" s="10" t="n">
        <v>196</v>
      </c>
      <c r="H40" s="21" t="s">
        <v>345</v>
      </c>
      <c r="I40" s="10" t="n">
        <v>155</v>
      </c>
    </row>
    <row r="41" customFormat="false" ht="15" hidden="false" customHeight="false" outlineLevel="0" collapsed="false">
      <c r="E41" s="21" t="s">
        <v>346</v>
      </c>
      <c r="F41" s="10" t="n">
        <v>208</v>
      </c>
      <c r="H41" s="21" t="s">
        <v>215</v>
      </c>
      <c r="I41" s="10" t="n">
        <v>154</v>
      </c>
    </row>
    <row r="42" customFormat="false" ht="15" hidden="false" customHeight="false" outlineLevel="0" collapsed="false">
      <c r="E42" s="21" t="s">
        <v>347</v>
      </c>
      <c r="F42" s="10" t="n">
        <v>198</v>
      </c>
      <c r="H42" s="21" t="s">
        <v>348</v>
      </c>
      <c r="I42" s="10" t="n">
        <v>131</v>
      </c>
    </row>
    <row r="43" customFormat="false" ht="15" hidden="false" customHeight="false" outlineLevel="0" collapsed="false">
      <c r="E43" s="21" t="s">
        <v>349</v>
      </c>
      <c r="F43" s="10" t="n">
        <v>205</v>
      </c>
      <c r="H43" s="21" t="s">
        <v>219</v>
      </c>
      <c r="I43" s="10" t="n">
        <v>131</v>
      </c>
    </row>
    <row r="44" customFormat="false" ht="15" hidden="false" customHeight="false" outlineLevel="0" collapsed="false">
      <c r="E44" s="21" t="s">
        <v>303</v>
      </c>
      <c r="F44" s="10" t="n">
        <v>195</v>
      </c>
      <c r="H44" s="21" t="s">
        <v>254</v>
      </c>
      <c r="I44" s="10" t="n">
        <v>160</v>
      </c>
    </row>
    <row r="45" customFormat="false" ht="15" hidden="false" customHeight="false" outlineLevel="0" collapsed="false">
      <c r="E45" s="21" t="s">
        <v>350</v>
      </c>
      <c r="F45" s="10" t="n">
        <v>195</v>
      </c>
      <c r="H45" s="21" t="s">
        <v>222</v>
      </c>
      <c r="I45" s="10" t="n">
        <v>160</v>
      </c>
    </row>
    <row r="46" customFormat="false" ht="15" hidden="false" customHeight="false" outlineLevel="0" collapsed="false">
      <c r="E46" s="21" t="s">
        <v>351</v>
      </c>
      <c r="F46" s="10" t="n">
        <v>203</v>
      </c>
      <c r="H46" s="21" t="s">
        <v>255</v>
      </c>
      <c r="I46" s="10" t="n">
        <v>148</v>
      </c>
    </row>
    <row r="47" customFormat="false" ht="15" hidden="false" customHeight="false" outlineLevel="0" collapsed="false">
      <c r="E47" s="21" t="s">
        <v>352</v>
      </c>
      <c r="F47" s="10" t="n">
        <v>196</v>
      </c>
      <c r="H47" s="21" t="s">
        <v>256</v>
      </c>
      <c r="I47" s="10" t="n">
        <v>153</v>
      </c>
    </row>
    <row r="48" customFormat="false" ht="15" hidden="false" customHeight="false" outlineLevel="0" collapsed="false">
      <c r="E48" s="21" t="s">
        <v>353</v>
      </c>
      <c r="F48" s="10" t="n">
        <v>206</v>
      </c>
      <c r="H48" s="21" t="s">
        <v>226</v>
      </c>
      <c r="I48" s="10" t="n">
        <v>145</v>
      </c>
    </row>
    <row r="49" customFormat="false" ht="15" hidden="false" customHeight="false" outlineLevel="0" collapsed="false">
      <c r="E49" s="21" t="s">
        <v>354</v>
      </c>
      <c r="F49" s="10" t="n">
        <v>204</v>
      </c>
      <c r="H49" s="21" t="s">
        <v>230</v>
      </c>
      <c r="I49" s="10" t="n">
        <v>135</v>
      </c>
    </row>
    <row r="50" customFormat="false" ht="15" hidden="false" customHeight="false" outlineLevel="0" collapsed="false">
      <c r="E50" s="21" t="s">
        <v>355</v>
      </c>
      <c r="F50" s="10" t="n">
        <v>199</v>
      </c>
      <c r="H50" s="21" t="s">
        <v>257</v>
      </c>
      <c r="I50" s="10" t="n">
        <v>128</v>
      </c>
    </row>
    <row r="51" customFormat="false" ht="15" hidden="false" customHeight="false" outlineLevel="0" collapsed="false">
      <c r="E51" s="21" t="s">
        <v>356</v>
      </c>
      <c r="F51" s="10" t="n">
        <v>211</v>
      </c>
    </row>
    <row r="54" customFormat="false" ht="15" hidden="false" customHeight="false" outlineLevel="0" collapsed="false">
      <c r="A54" s="4" t="s">
        <v>357</v>
      </c>
    </row>
    <row r="55" customFormat="false" ht="126.85" hidden="false" customHeight="false" outlineLevel="0" collapsed="false">
      <c r="A55" s="25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9" min="2" style="0" width="7.2"/>
    <col collapsed="false" customWidth="true" hidden="false" outlineLevel="0" max="20" min="20" style="0" width="44"/>
  </cols>
  <sheetData>
    <row r="1" customFormat="false" ht="16.1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2" t="s">
        <v>360</v>
      </c>
    </row>
    <row r="4" customFormat="false" ht="15" hidden="false" customHeight="false" outlineLevel="0" collapsed="false">
      <c r="A4" s="4" t="s">
        <v>361</v>
      </c>
    </row>
    <row r="5" customFormat="false" ht="15" hidden="false" customHeight="false" outlineLevel="0" collapsed="false">
      <c r="A5" s="21" t="s">
        <v>362</v>
      </c>
      <c r="B5" s="21" t="s">
        <v>363</v>
      </c>
      <c r="C5" s="21" t="s">
        <v>364</v>
      </c>
      <c r="D5" s="21" t="s">
        <v>365</v>
      </c>
      <c r="E5" s="21" t="s">
        <v>366</v>
      </c>
      <c r="F5" s="21" t="s">
        <v>367</v>
      </c>
      <c r="G5" s="21" t="s">
        <v>368</v>
      </c>
      <c r="H5" s="21" t="s">
        <v>369</v>
      </c>
      <c r="I5" s="21" t="s">
        <v>370</v>
      </c>
      <c r="J5" s="21" t="s">
        <v>371</v>
      </c>
      <c r="K5" s="21" t="s">
        <v>372</v>
      </c>
    </row>
    <row r="6" customFormat="false" ht="22.35" hidden="false" customHeight="false" outlineLevel="0" collapsed="false">
      <c r="A6" s="3" t="s">
        <v>373</v>
      </c>
      <c r="B6" s="10" t="n">
        <v>154</v>
      </c>
      <c r="C6" s="10" t="n">
        <v>131</v>
      </c>
      <c r="D6" s="10" t="n">
        <v>131</v>
      </c>
      <c r="E6" s="10" t="n">
        <v>160</v>
      </c>
      <c r="F6" s="10" t="n">
        <v>160</v>
      </c>
      <c r="G6" s="10" t="n">
        <v>148</v>
      </c>
      <c r="H6" s="10" t="n">
        <v>153</v>
      </c>
      <c r="I6" s="10" t="n">
        <v>145</v>
      </c>
      <c r="J6" s="10" t="n">
        <v>135</v>
      </c>
      <c r="K6" s="10" t="n">
        <v>128</v>
      </c>
      <c r="T6" s="25" t="s">
        <v>374</v>
      </c>
    </row>
    <row r="8" customFormat="false" ht="15" hidden="false" customHeight="false" outlineLevel="0" collapsed="false">
      <c r="A8" s="3" t="s">
        <v>375</v>
      </c>
      <c r="B8" s="10" t="n">
        <v>174</v>
      </c>
    </row>
    <row r="9" customFormat="false" ht="15" hidden="false" customHeight="false" outlineLevel="0" collapsed="false">
      <c r="A9" s="3" t="s">
        <v>376</v>
      </c>
      <c r="B9" s="11" t="n">
        <f aca="false">B8-K6</f>
        <v>46</v>
      </c>
    </row>
    <row r="11" customFormat="false" ht="15" hidden="false" customHeight="false" outlineLevel="0" collapsed="false">
      <c r="A11" s="2" t="s">
        <v>377</v>
      </c>
    </row>
    <row r="13" customFormat="false" ht="15" hidden="false" customHeight="false" outlineLevel="0" collapsed="false">
      <c r="A13" s="4" t="s">
        <v>378</v>
      </c>
    </row>
    <row r="14" customFormat="false" ht="43.25" hidden="false" customHeight="false" outlineLevel="0" collapsed="false">
      <c r="A14" s="21" t="s">
        <v>379</v>
      </c>
      <c r="B14" s="21" t="s">
        <v>356</v>
      </c>
      <c r="C14" s="21" t="s">
        <v>329</v>
      </c>
      <c r="D14" s="21" t="s">
        <v>332</v>
      </c>
      <c r="E14" s="21" t="s">
        <v>304</v>
      </c>
      <c r="F14" s="21" t="s">
        <v>337</v>
      </c>
      <c r="G14" s="21" t="s">
        <v>340</v>
      </c>
      <c r="H14" s="21" t="s">
        <v>208</v>
      </c>
      <c r="I14" s="21" t="s">
        <v>343</v>
      </c>
      <c r="J14" s="21" t="s">
        <v>345</v>
      </c>
      <c r="K14" s="21" t="s">
        <v>215</v>
      </c>
      <c r="L14" s="21" t="s">
        <v>348</v>
      </c>
      <c r="M14" s="21" t="s">
        <v>219</v>
      </c>
      <c r="N14" s="21" t="s">
        <v>254</v>
      </c>
      <c r="O14" s="21" t="s">
        <v>255</v>
      </c>
      <c r="P14" s="21" t="s">
        <v>256</v>
      </c>
      <c r="Q14" s="21" t="s">
        <v>226</v>
      </c>
      <c r="R14" s="21" t="s">
        <v>230</v>
      </c>
      <c r="S14" s="21" t="s">
        <v>257</v>
      </c>
      <c r="T14" s="25" t="s">
        <v>380</v>
      </c>
    </row>
    <row r="15" customFormat="false" ht="15" hidden="false" customHeight="false" outlineLevel="0" collapsed="false">
      <c r="A15" s="3" t="s">
        <v>381</v>
      </c>
      <c r="B15" s="26" t="n">
        <v>56.5</v>
      </c>
      <c r="C15" s="26" t="n">
        <v>63.9</v>
      </c>
      <c r="D15" s="26" t="n">
        <v>68.6</v>
      </c>
      <c r="E15" s="26" t="n">
        <v>87.9</v>
      </c>
      <c r="F15" s="26" t="n">
        <v>85.8</v>
      </c>
      <c r="G15" s="26" t="n">
        <v>72.5</v>
      </c>
      <c r="H15" s="26" t="n">
        <v>67.6</v>
      </c>
      <c r="I15" s="26" t="n">
        <v>56.6</v>
      </c>
      <c r="J15" s="26" t="n">
        <v>56.9</v>
      </c>
      <c r="K15" s="26" t="n">
        <v>48.7</v>
      </c>
      <c r="L15" s="26" t="n">
        <v>49.3</v>
      </c>
      <c r="M15" s="26" t="n">
        <v>40</v>
      </c>
      <c r="N15" s="26" t="n">
        <v>50.4</v>
      </c>
      <c r="P15" s="26" t="n">
        <v>47.7</v>
      </c>
      <c r="Q15" s="26" t="n">
        <v>32.1</v>
      </c>
      <c r="R15" s="26" t="n">
        <v>54.1</v>
      </c>
      <c r="S15" s="26" t="n">
        <v>58.2</v>
      </c>
    </row>
    <row r="16" customFormat="false" ht="15" hidden="false" customHeight="false" outlineLevel="0" collapsed="false">
      <c r="A16" s="3" t="s">
        <v>382</v>
      </c>
      <c r="B16" s="26" t="n">
        <v>77.5</v>
      </c>
      <c r="C16" s="26" t="n">
        <v>81.9</v>
      </c>
      <c r="D16" s="26" t="n">
        <v>72.6</v>
      </c>
      <c r="E16" s="26" t="n">
        <v>69.6</v>
      </c>
      <c r="F16" s="26" t="n">
        <v>63</v>
      </c>
      <c r="G16" s="26" t="n">
        <v>74.7</v>
      </c>
      <c r="H16" s="26" t="n">
        <v>67.6</v>
      </c>
      <c r="I16" s="26" t="n">
        <v>51.8</v>
      </c>
      <c r="J16" s="26" t="n">
        <v>52.1</v>
      </c>
      <c r="K16" s="26" t="n">
        <v>30</v>
      </c>
      <c r="L16" s="26" t="n">
        <v>34</v>
      </c>
      <c r="M16" s="26" t="n">
        <v>32.8</v>
      </c>
      <c r="N16" s="26" t="n">
        <v>39.9</v>
      </c>
      <c r="O16" s="26" t="n">
        <v>20</v>
      </c>
      <c r="P16" s="26" t="n">
        <v>29.9</v>
      </c>
      <c r="Q16" s="26" t="n">
        <v>29</v>
      </c>
      <c r="R16" s="26" t="n">
        <v>23.8</v>
      </c>
      <c r="S16" s="26" t="n">
        <v>26.5</v>
      </c>
    </row>
    <row r="17" customFormat="false" ht="15" hidden="false" customHeight="false" outlineLevel="0" collapsed="false">
      <c r="A17" s="3" t="s">
        <v>383</v>
      </c>
      <c r="B17" s="26" t="n">
        <v>35.2</v>
      </c>
      <c r="C17" s="26" t="n">
        <v>50.9</v>
      </c>
      <c r="D17" s="26" t="n">
        <v>56.2</v>
      </c>
      <c r="E17" s="26" t="n">
        <v>65.5</v>
      </c>
      <c r="F17" s="26" t="n">
        <v>34.5</v>
      </c>
      <c r="G17" s="26" t="n">
        <v>34</v>
      </c>
      <c r="H17" s="26" t="n">
        <v>49.6</v>
      </c>
      <c r="I17" s="26" t="n">
        <v>51</v>
      </c>
      <c r="J17" s="26" t="n">
        <v>51.1</v>
      </c>
      <c r="K17" s="26" t="n">
        <v>57.5</v>
      </c>
      <c r="L17" s="26" t="n">
        <v>50.4</v>
      </c>
      <c r="M17" s="26" t="n">
        <v>41.4</v>
      </c>
      <c r="N17" s="26" t="n">
        <v>38.8</v>
      </c>
      <c r="O17" s="26" t="n">
        <v>23.8</v>
      </c>
      <c r="P17" s="26" t="n">
        <v>38.7</v>
      </c>
      <c r="Q17" s="26" t="n">
        <v>34.6</v>
      </c>
      <c r="R17" s="26" t="n">
        <v>35.8</v>
      </c>
      <c r="S17" s="26" t="n">
        <v>19.3</v>
      </c>
    </row>
    <row r="18" customFormat="false" ht="15" hidden="false" customHeight="false" outlineLevel="0" collapsed="false">
      <c r="A18" s="3" t="s">
        <v>384</v>
      </c>
      <c r="R18" s="26" t="n">
        <v>16.8</v>
      </c>
      <c r="S18" s="26" t="n">
        <v>12.2</v>
      </c>
    </row>
    <row r="19" customFormat="false" ht="15" hidden="false" customHeight="false" outlineLevel="0" collapsed="false">
      <c r="A19" s="3" t="s">
        <v>385</v>
      </c>
      <c r="R19" s="26" t="n">
        <v>30.7</v>
      </c>
      <c r="S19" s="26" t="n">
        <v>42.3</v>
      </c>
    </row>
    <row r="20" customFormat="false" ht="15" hidden="false" customHeight="false" outlineLevel="0" collapsed="false">
      <c r="A20" s="3" t="s">
        <v>386</v>
      </c>
      <c r="R20" s="26" t="n">
        <v>43.2</v>
      </c>
      <c r="S20" s="26" t="n">
        <v>39.3</v>
      </c>
    </row>
    <row r="21" customFormat="false" ht="15" hidden="false" customHeight="false" outlineLevel="0" collapsed="false">
      <c r="A21" s="3" t="s">
        <v>387</v>
      </c>
      <c r="R21" s="26" t="n">
        <v>43.2</v>
      </c>
      <c r="S21" s="26" t="n">
        <v>34.2</v>
      </c>
    </row>
    <row r="22" customFormat="false" ht="15" hidden="false" customHeight="false" outlineLevel="0" collapsed="false">
      <c r="A22" s="3" t="s">
        <v>388</v>
      </c>
      <c r="R22" s="26" t="n">
        <v>15.6</v>
      </c>
      <c r="S22" s="26" t="n">
        <v>17.5</v>
      </c>
    </row>
    <row r="23" customFormat="false" ht="15" hidden="false" customHeight="false" outlineLevel="0" collapsed="false">
      <c r="A23" s="3" t="s">
        <v>389</v>
      </c>
      <c r="R23" s="26" t="n">
        <v>67.4</v>
      </c>
      <c r="S23" s="26" t="n">
        <v>68.9</v>
      </c>
    </row>
    <row r="24" customFormat="false" ht="15" hidden="false" customHeight="false" outlineLevel="0" collapsed="false">
      <c r="A24" s="3" t="s">
        <v>390</v>
      </c>
      <c r="R24" s="26" t="n">
        <v>65.9</v>
      </c>
      <c r="S24" s="26" t="n">
        <v>65.1</v>
      </c>
    </row>
    <row r="25" customFormat="false" ht="15" hidden="false" customHeight="false" outlineLevel="0" collapsed="false">
      <c r="A25" s="3" t="s">
        <v>391</v>
      </c>
      <c r="R25" s="26" t="n">
        <v>15.9</v>
      </c>
      <c r="T25" s="2" t="s">
        <v>392</v>
      </c>
    </row>
    <row r="26" customFormat="false" ht="15" hidden="false" customHeight="false" outlineLevel="0" collapsed="false">
      <c r="A26" s="3" t="s">
        <v>393</v>
      </c>
      <c r="B26" s="20" t="n">
        <f aca="false">AVERAGE(Q15:S15)</f>
        <v>48.1333333333333</v>
      </c>
      <c r="C26" s="20" t="n">
        <f aca="false">AVERAGE(Q16:S16)</f>
        <v>26.4333333333333</v>
      </c>
      <c r="D26" s="20" t="n">
        <f aca="false">AVERAGE(Q17:S17)</f>
        <v>29.9</v>
      </c>
    </row>
    <row r="28" customFormat="false" ht="15" hidden="false" customHeight="false" outlineLevel="0" collapsed="false">
      <c r="A28" s="4" t="s">
        <v>394</v>
      </c>
    </row>
    <row r="29" customFormat="false" ht="15" hidden="false" customHeight="false" outlineLevel="0" collapsed="false">
      <c r="B29" s="21" t="s">
        <v>395</v>
      </c>
      <c r="C29" s="21" t="s">
        <v>396</v>
      </c>
    </row>
    <row r="30" customFormat="false" ht="22.35" hidden="false" customHeight="false" outlineLevel="0" collapsed="false">
      <c r="A30" s="3" t="s">
        <v>397</v>
      </c>
      <c r="B30" s="13" t="n">
        <v>0.5</v>
      </c>
      <c r="C30" s="13" t="n">
        <v>0.5</v>
      </c>
      <c r="T30" s="25" t="s">
        <v>398</v>
      </c>
    </row>
    <row r="31" customFormat="false" ht="15" hidden="false" customHeight="false" outlineLevel="0" collapsed="false">
      <c r="A31" s="3" t="s">
        <v>399</v>
      </c>
      <c r="B31" s="13" t="n">
        <v>0.44</v>
      </c>
      <c r="C31" s="13" t="n">
        <v>0.44</v>
      </c>
    </row>
    <row r="32" customFormat="false" ht="15" hidden="false" customHeight="false" outlineLevel="0" collapsed="false">
      <c r="A32" s="3" t="s">
        <v>400</v>
      </c>
      <c r="B32" s="13" t="n">
        <v>0.58</v>
      </c>
      <c r="C32" s="13" t="n">
        <v>0.38</v>
      </c>
    </row>
    <row r="33" customFormat="false" ht="15" hidden="false" customHeight="false" outlineLevel="0" collapsed="false">
      <c r="A33" s="3" t="s">
        <v>401</v>
      </c>
      <c r="B33" s="13" t="n">
        <v>0.53</v>
      </c>
      <c r="C33" s="13" t="n">
        <v>0.37</v>
      </c>
    </row>
    <row r="34" customFormat="false" ht="15" hidden="false" customHeight="false" outlineLevel="0" collapsed="false">
      <c r="A34" s="3" t="s">
        <v>402</v>
      </c>
      <c r="B34" s="26" t="n">
        <v>57.1</v>
      </c>
    </row>
    <row r="35" customFormat="false" ht="15" hidden="false" customHeight="false" outlineLevel="0" collapsed="false">
      <c r="A35" s="3" t="s">
        <v>403</v>
      </c>
      <c r="B35" s="26" t="n">
        <v>85.7</v>
      </c>
    </row>
    <row r="36" customFormat="false" ht="15" hidden="false" customHeight="false" outlineLevel="0" collapsed="false">
      <c r="A36" s="3" t="s">
        <v>404</v>
      </c>
      <c r="B36" s="26" t="n">
        <v>28.8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2026-07-19T01:15:01Z</dcterms:created>
  <dc:creator>openpyxl</dc:creator>
  <dc:description/>
  <dc:language>en-US</dc:language>
  <cp:lastModifiedBy/>
  <dcterms:modified xsi:type="dcterms:W3CDTF">2026-07-19T01:15:01Z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