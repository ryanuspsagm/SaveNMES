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 name="KY_Closures" sheetId="16" state="visible" r:id="rId16"/>
    <sheet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9" fontId="5"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t>
        </is>
      </c>
    </row>
    <row r="42">
      <c r="A42" s="3" t="inlineStr">
        <is>
          <t>Added busing</t>
        </is>
      </c>
      <c r="B42" s="8" t="n">
        <v>100000</v>
      </c>
      <c r="C42" s="8" t="n">
        <v>137500</v>
      </c>
      <c r="D42" s="8" t="n">
        <v>250000</v>
      </c>
      <c r="E42" s="2" t="inlineStr">
        <is>
          <t>110 sq mi zone (federal SABS); worst-reimbursed budget line</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equal weights, enumerated by build/closure_grid.py: positions take four values (2, 3, 4, 5), fixed-avoided takes two ($230,000 mothballed, $290,000 sold), and the five other levers three each (4 x 2 x 3^5 = 1,944). Median +$91,240; middle half -$17,500 to +$200,000; 28.8 percent (559 of 1,944, published as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District-wide recruitment beyond NMES's 46 seats (homeschool, private-school, nonresident incentives; v3.8)</t>
        </is>
      </c>
      <c r="B14" s="18">
        <f>25*(Assumptions!B6-Assumptions!B62)</f>
        <v/>
      </c>
      <c r="C14" s="18">
        <f>50*(Assumptions!B6-Assumptions!B62)</f>
        <v/>
      </c>
      <c r="D14" s="2" t="inlineStr">
        <is>
          <t>25-50 additional students at $4,226 net; pool measured on Redistricting rows 116-135 (259 registered homeschoolers, ACS pool ~1,135, net import already 189); 62 open seats exist at Bourbon Central's approved rating</t>
        </is>
      </c>
      <c r="E14" s="2" t="inlineStr">
        <is>
          <t>New revenue</t>
        </is>
      </c>
      <c r="F14" s="2" t="inlineStr">
        <is>
          <t>Medium; needs an enrollment marketing plan and incentive design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row r="25">
      <c r="A25" s="21" t="inlineStr">
        <is>
          <t>Reading: raw row sums run about $1.6M to $2.9M;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row r="27">
      <c r="A27" s="4" t="inlineStr">
        <is>
          <t>THE GROWTH PATH: THE SAME MENU AS A DISTRICT-WIDE RECOVERY PLAN (v3.8; backs the site card and Section 9)</t>
        </is>
      </c>
    </row>
    <row r="28">
      <c r="A28" s="3" t="inlineStr">
        <is>
          <t>Move 1: inspect fixed costs, starting with administration (attrition, admin restraint, transport, reimbursements, energy, shared services)</t>
        </is>
      </c>
      <c r="B28" s="23">
        <f>SUM(B7:B12)</f>
        <v/>
      </c>
      <c r="C28" s="23">
        <f>SUM(C7:C12)</f>
        <v/>
      </c>
    </row>
    <row r="29">
      <c r="A29" s="3" t="inlineStr">
        <is>
          <t>Move 2: grow enrollment instead of shrinking it (attendance recovery, fill NMES, district-wide recruitment)</t>
        </is>
      </c>
      <c r="B29" s="23">
        <f>B6+B13+B14</f>
        <v/>
      </c>
      <c r="C29" s="23">
        <f>C6+C13+C14</f>
        <v/>
      </c>
    </row>
    <row r="30">
      <c r="A30" s="3" t="inlineStr">
        <is>
          <t>Move 3: the honest revenue conversation, year one (4 percent option plus delinquency; compounds by year three; recallable menu beyond it on Tax_History rows 70-91)</t>
        </is>
      </c>
      <c r="B30" s="23">
        <f>B4+B5</f>
        <v/>
      </c>
      <c r="C30" s="23">
        <f>C4+C5</f>
        <v/>
      </c>
    </row>
    <row r="31">
      <c r="A31" s="3" t="inlineStr">
        <is>
          <t>Growth plan total (equals the raw sum above; the published band is the conservative cut of the same rows)</t>
        </is>
      </c>
      <c r="B31" s="23">
        <f>B28+B29+B30</f>
        <v/>
      </c>
      <c r="C31" s="23">
        <f>C28+C29+C30</f>
        <v/>
      </c>
    </row>
    <row r="32">
      <c r="A3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Sits between the v3 closure model's median ($91,240) and central case ($131,240)</t>
        </is>
      </c>
    </row>
    <row r="47">
      <c r="A47" s="3" t="inlineStr">
        <is>
          <t>Closure model median (v3 two-tailed grid)</t>
        </is>
      </c>
      <c r="B47" s="8" t="n">
        <v>91240</v>
      </c>
      <c r="C47" s="9">
        <f>B47*(1-(1+B$40)^-B$41)/B$40</f>
        <v/>
      </c>
      <c r="F47" s="21" t="inlineStr">
        <is>
          <t>Closure_Model tab, 1,944-combination grid</t>
        </is>
      </c>
    </row>
    <row r="48">
      <c r="A48" s="3" t="inlineStr">
        <is>
          <t>Closure model best case (v3 favorable tail)</t>
        </is>
      </c>
      <c r="B48" s="8" t="n">
        <v>565000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(v3 central case, $131,240,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 at the +$565,000 best case FY2029 ends near $1.4M; at the +$91,240 median the reserves are gone on nearly the status-quo schedule; in the 29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91"/>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6"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38" t="n">
        <v>0.887637</v>
      </c>
      <c r="C67" s="38" t="n">
        <v>0.819273</v>
      </c>
      <c r="D67" s="38" t="n">
        <v>0.823017</v>
      </c>
      <c r="E67" s="8" t="n">
        <v>4006243.38</v>
      </c>
      <c r="F67" s="8" t="n">
        <v>22636266.8</v>
      </c>
    </row>
    <row r="68">
      <c r="A68" s="3" t="inlineStr">
        <is>
          <t>Cane Ridge Elementary (1992)</t>
        </is>
      </c>
      <c r="B68" s="38" t="n">
        <v>0.8120579999999999</v>
      </c>
      <c r="C68" s="38" t="n">
        <v>0.811765</v>
      </c>
      <c r="D68" s="38" t="n">
        <v>0.728249</v>
      </c>
      <c r="E68" s="8" t="n">
        <v>4796308</v>
      </c>
      <c r="F68" s="8" t="n">
        <v>17649638.79</v>
      </c>
    </row>
    <row r="69">
      <c r="A69" s="3" t="inlineStr">
        <is>
          <t>North Middletown Elementary (1948/64)</t>
        </is>
      </c>
      <c r="B69" s="38" t="n">
        <v>0.694064</v>
      </c>
      <c r="C69" s="38" t="n">
        <v>0.702133</v>
      </c>
      <c r="D69" s="38" t="n">
        <v>0.773295</v>
      </c>
      <c r="E69" s="8" t="n">
        <v>3099147.93</v>
      </c>
      <c r="F69" s="8" t="n">
        <v>13670417.6</v>
      </c>
    </row>
    <row r="70">
      <c r="A70" s="3" t="inlineStr">
        <is>
          <t>Bourbon County Middle School (1948)</t>
        </is>
      </c>
      <c r="B70" s="38" t="n">
        <v>0.726249</v>
      </c>
      <c r="C70" s="38" t="n">
        <v>0.727501</v>
      </c>
      <c r="D70" s="38" t="n">
        <v>0.596145</v>
      </c>
      <c r="E70" s="8" t="n">
        <v>12167086.72</v>
      </c>
      <c r="F70" s="8" t="n">
        <v>30127350</v>
      </c>
    </row>
    <row r="71">
      <c r="A71" s="3" t="inlineStr">
        <is>
          <t>Bourbon County High School (1968)</t>
        </is>
      </c>
      <c r="B71" s="38" t="n">
        <v>0.809819</v>
      </c>
      <c r="C71" s="38" t="n">
        <v>0.802057</v>
      </c>
      <c r="D71" s="38" t="n">
        <v>0.792529</v>
      </c>
      <c r="E71" s="8" t="n">
        <v>10251532.33</v>
      </c>
      <c r="F71" s="8" t="n">
        <v>49411909.14</v>
      </c>
    </row>
    <row r="72">
      <c r="A72" s="3" t="inlineStr">
        <is>
          <t>Check: Condition Index = 1 - (4-year renewal needs / replacement value), NMES</t>
        </is>
      </c>
      <c r="B72" s="39">
        <f>1-E69/F69</f>
        <v/>
      </c>
    </row>
    <row r="73">
      <c r="A73" s="3" t="inlineStr">
        <is>
          <t>NMES change between inspection cycles (2020-21 to April 2026)</t>
        </is>
      </c>
      <c r="B73" s="39">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91240/Assumptions!B11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40" t="n">
        <v>0.4</v>
      </c>
      <c r="C41" s="40"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CONVERGENCE CHECK: the record's plausible median vs this model's independent bottom-up median per displaced student</t>
        </is>
      </c>
      <c r="B44" s="8" t="n">
        <v>818</v>
      </c>
      <c r="C44" s="23">
        <f>91240/Assumptions!B11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1">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(SEEK+federal)</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Plant scaled by KFICS replacement value; office and principal equal across schools. Marginal federal $3,380 = measured 2023-24 federal per member. Local carries zero at the margin: the levy does not change with enrollment.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double to triple enrollment; the receiving schools at 6 to 10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2">
        <f>B39/D39-1</f>
        <v/>
      </c>
    </row>
    <row r="40">
      <c r="A40" s="3" t="inlineStr">
        <is>
          <t>2012-13</t>
        </is>
      </c>
      <c r="B40" s="8" t="n">
        <v>19635</v>
      </c>
      <c r="C40" s="10" t="n">
        <v>158</v>
      </c>
      <c r="D40" s="8" t="n">
        <v>10281</v>
      </c>
      <c r="E40" s="8" t="n">
        <v>11383</v>
      </c>
      <c r="F40" s="42">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2">
        <f>B41/D41-1</f>
        <v/>
      </c>
    </row>
    <row r="42">
      <c r="A42" s="3" t="inlineStr">
        <is>
          <t>2014-15</t>
        </is>
      </c>
      <c r="B42" s="8" t="n">
        <v>10999</v>
      </c>
      <c r="C42" s="10" t="n">
        <v>153</v>
      </c>
      <c r="D42" s="8" t="n">
        <v>8651</v>
      </c>
      <c r="E42" s="8" t="n">
        <v>9222</v>
      </c>
      <c r="F42" s="42">
        <f>B42/D42-1</f>
        <v/>
      </c>
    </row>
    <row r="43">
      <c r="A43" s="3" t="inlineStr">
        <is>
          <t>2015-16</t>
        </is>
      </c>
      <c r="B43" s="8" t="n">
        <v>11521</v>
      </c>
      <c r="C43" s="10" t="n">
        <v>149</v>
      </c>
      <c r="D43" s="8" t="n">
        <v>8705</v>
      </c>
      <c r="E43" s="8" t="n">
        <v>9655</v>
      </c>
      <c r="F43" s="42">
        <f>B43/D43-1</f>
        <v/>
      </c>
    </row>
    <row r="44">
      <c r="A44" s="3" t="inlineStr">
        <is>
          <t>2016-17</t>
        </is>
      </c>
      <c r="B44" s="8" t="n">
        <v>13260</v>
      </c>
      <c r="C44" s="10" t="n">
        <v>133</v>
      </c>
      <c r="D44" s="8" t="n">
        <v>9197</v>
      </c>
      <c r="E44" s="8" t="n">
        <v>9815</v>
      </c>
      <c r="F44" s="42">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3">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3">
        <f>1/B50</f>
        <v/>
      </c>
    </row>
    <row r="51">
      <c r="A51" s="3" t="inlineStr">
        <is>
          <t>North Middletown</t>
        </is>
      </c>
      <c r="B51" s="10" t="n">
        <v>193</v>
      </c>
      <c r="C51" s="8" t="n">
        <v>4414</v>
      </c>
      <c r="D51" s="9">
        <f>B$55+B$54*E51</f>
        <v/>
      </c>
      <c r="E51" s="43">
        <f>1/B51</f>
        <v/>
      </c>
    </row>
    <row r="52">
      <c r="A52" s="3" t="inlineStr">
        <is>
          <t>Millersburg</t>
        </is>
      </c>
      <c r="B52" s="10" t="n">
        <v>145</v>
      </c>
      <c r="C52" s="8" t="n">
        <v>5200</v>
      </c>
      <c r="D52" s="9">
        <f>B$55+B$54*E52</f>
        <v/>
      </c>
      <c r="E52" s="43">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4">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2026-07-26T15:35:00Z</dcterms:created>
  <dcterms:modified xsi:type="dcterms:W3CDTF">2026-07-26T15:35:00Z</dcterms:modified>
</cp:coreProperties>
</file>