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WHAT LEAVING FAMILIES COST (the published table, all four rows)</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the survey floor of missing students</t>
        </is>
      </c>
      <c r="B34" s="19">
        <f>B17+C17-63000-73*(Assumptions!B6+500)</f>
        <v/>
      </c>
      <c r="F34" s="21">
        <f> $127,039 kept, minus $63,000 of busing, minus the survey floor of 73 missing students at $5,126 with nothing shed: the published -$310,159, the 47th percentile of the 14,580-scenario grid; the weighted median is a $292,348 loss (Closure_Model row 50)</f>
        <v/>
      </c>
    </row>
    <row r="35">
      <c r="A35" s="3" t="inlineStr">
        <is>
          <t>Growth default: 30 added students at the grid's low busing and supplies</t>
        </is>
      </c>
      <c r="B35" s="19">
        <f>30*(Assumptions!B6+500-400)</f>
        <v/>
      </c>
      <c r="F35" s="21" t="inlineStr">
        <is>
          <t>The published +$141,780, the weighted median of the 19,683-scenario grid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14,580-scenario grid at row 37, median a $292,348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EIGHT LEVERS, 14,580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missing from the rolls at steady state (grid legs 38/73/137/167/194)</t>
        </is>
      </c>
      <c r="B43" s="10" t="n">
        <v>38</v>
      </c>
      <c r="C43" s="8" t="n">
        <v>137</v>
      </c>
      <c r="D43" s="8" t="n">
        <v>194</v>
      </c>
      <c r="E43" s="2" t="inlineStr">
        <is>
          <t>From the August 2026 school-choice survey (anonymized in build/) and build/exodus_model.py: 73 = the floor, 30 signed households' 69 children at 5.75 per class x 12.62 effective years of the district's own grade-to-grade survival; 137/167/194 = the response-bias-corrected posterior quartiles at the class midpoint; 38 = half the floor, the skeptic's leg.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Variable cost shed per missing student (grid legs 0/1585/2642)</t>
        </is>
      </c>
      <c r="B45" s="10" t="n">
        <v>0</v>
      </c>
      <c r="C45" s="8" t="n">
        <v>1585</v>
      </c>
      <c r="D45" s="8" t="n">
        <v>2642</v>
      </c>
      <c r="E45" s="2" t="inlineStr">
        <is>
          <t>What the district stops spending when a student leaves, netted against the SEEK loss: $2,642 = one teacher per 25.4 students (SBDM allocation sheet: 463 students / 18.2 teachers) at the district's own $54,479.40, plus $500 non-personnel (assumption, flagged); $1,585 = 60 percent consolidation friction; $0 = the district's own stated stance that all staff are retained</t>
        </is>
      </c>
    </row>
    <row r="46">
      <c r="A46" s="3" t="inlineStr">
        <is>
          <t>Property-value loss (zone tax base)</t>
        </is>
      </c>
      <c r="B46" s="10" t="n">
        <v>0</v>
      </c>
      <c r="C46" s="8" t="n">
        <v>47500</v>
      </c>
      <c r="D46" s="8" t="n">
        <v>95000</v>
      </c>
      <c r="E46"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C39+C40+C41*54479.4-C42-C43*(Assumptions!B6+C44-C45)-C46</f>
        <v/>
      </c>
      <c r="C47" s="2" t="inlineStr">
        <is>
          <t>-$299,327: the central case itself loses money, about 11 percent of the structural deficit added, not removed</t>
        </is>
      </c>
    </row>
    <row r="48">
      <c r="A48" s="3" t="inlineStr">
        <is>
          <t>Unfavorable tail (all levers adverse)</t>
        </is>
      </c>
      <c r="B48" s="9">
        <f>B39+B40+B41*54479.4-D42-D43*(Assumptions!B6+D44-B45)-D46</f>
        <v/>
      </c>
      <c r="C48" s="2" t="inlineStr">
        <is>
          <t>-$1,322,925 a year: the closure loses money</t>
        </is>
      </c>
    </row>
    <row r="49">
      <c r="A49" s="3" t="inlineStr">
        <is>
          <t>Favorable tail (all levers favorable)</t>
        </is>
      </c>
      <c r="B49" s="9">
        <f>D39+D40+D41*54479.4-B42-B43*(Assumptions!B6+B44-D45)-B46</f>
        <v/>
      </c>
      <c r="C49" s="2" t="inlineStr">
        <is>
          <t>+$409,190 a year: the grid's best case (every lever at its closure-friendliest, only the survey's skeptic-leg leavers), still below the plan's $800K-$1M requirement</t>
        </is>
      </c>
    </row>
    <row r="50">
      <c r="A50" s="21" t="inlineStr">
        <is>
          <t>Distribution of all 14,580 combinations enumerated by build/closure_grid.py: capture, fixed-position, add-ons, shed, property and busing levers take three values each, teachers four (0/1/2/3) and missing students five (38/73/137/167/194): 3^6 x 4 x 5 = 14,580. v5.0 lever weights: triangular 1-2-1 on the six levers with a documented central setting; uniform on teachers; survey-anchored 1-2-2-2-1 on missing students. Weighted median -$292,348 (the median scenario LOSES money); middle half -$488,920 to -$111,080; 88 percent of weighted scenarios negative; range -$1,322,925 to +$409,190 (unweighted median -$283,934). REBUILT IN v5.0 on the August 2026 school-choice survey: the leaver lever moves from guessed shares of 128 (0-64, year one only) to measured students missing at steady state, and the new shed lever nets the district's cost response against each lost student's SEEK.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1"/>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37</v>
      </c>
      <c r="C5" s="10" t="n">
        <v>84</v>
      </c>
    </row>
    <row r="6">
      <c r="A6" s="3" t="inlineStr">
        <is>
          <t>Leaving households / their children</t>
        </is>
      </c>
      <c r="B6" s="10" t="n">
        <v>30</v>
      </c>
      <c r="C6" s="10" t="n">
        <v>69</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5.75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30 signed households alone: no statistics. $371,963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THE DISTRICT SHEDS AS STUDENTS LEAVE</t>
        </is>
      </c>
    </row>
    <row r="28">
      <c r="A28" s="3" t="inlineStr">
        <is>
          <t>Teacher cost per student at the district's own ratio</t>
        </is>
      </c>
      <c r="B28" s="9">
        <f>54479.4/(463/18.2)</f>
        <v/>
      </c>
      <c r="F28" s="21" t="inlineStr">
        <is>
          <t>$2,142: one teacher per 25.4 students (SBDM allocation sheet, 463/18.2) at Appendix A.1's $54,479.40</t>
        </is>
      </c>
    </row>
    <row r="29">
      <c r="A29" s="3" t="inlineStr">
        <is>
          <t>Non-personnel variable per student (assumption, flagged)</t>
        </is>
      </c>
      <c r="B29" s="8" t="n">
        <v>500</v>
      </c>
    </row>
    <row r="30">
      <c r="A30" s="3" t="inlineStr">
        <is>
          <t>Full consolidation shed / with 60 percent friction / district stance</t>
        </is>
      </c>
      <c r="B30" s="9">
        <f>B28+B29</f>
        <v/>
      </c>
      <c r="C30" s="9">
        <f>ROUND(0.6*(B28+B29),0)</f>
        <v/>
      </c>
      <c r="D30" s="8" t="n">
        <v>0</v>
      </c>
    </row>
    <row r="31">
      <c r="A31" s="21" t="inlineStr">
        <is>
          <t>At most 52 cents of each lost SEEK dollar is recoverable by cutting costs; the Closure_Model grid runs all three settings as its shed lever, and the district's own stated stance (all staff retained) is the $0 setting. Even at full consolidation, counting only the signed families, closure still nets negative at the savings median.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$1,322,925 to plus $409,190 with a weighted median of minus $292,348,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-$292,348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(-$299,327); the weighted median loses $292,348</t>
        </is>
      </c>
    </row>
    <row r="47">
      <c r="A47" s="3" t="inlineStr">
        <is>
          <t>Closure model median (v5.0 weighted grid)</t>
        </is>
      </c>
      <c r="B47" s="8" t="n">
        <v>-292348</v>
      </c>
      <c r="C47" s="9">
        <f>B47*(1-(1+B$40)^-B$41)/B$40</f>
        <v/>
      </c>
      <c r="F47" s="21" t="inlineStr">
        <is>
          <t>Closure_Model tab, 14,580-combination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at the +$409,190 best case FY2029 holds a modest cushion; at the -$292,348 weighted median the reserves go MUCH faster than status quo; 88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-292348</v>
      </c>
      <c r="C6" s="9">
        <f>Runway!E7</f>
        <v/>
      </c>
      <c r="D6" s="2" t="inlineStr">
        <is>
          <t>Unpublished</t>
        </is>
      </c>
      <c r="E6" s="2" t="inlineStr">
        <is>
          <t>Closure vote; the weighted median LOSES $292,348 a year (B6 is the grid median; the legacy single-point Closure_Model!B20 is superseded); the grid central case itself loses $299,327, and even the +$409,190 best-case tail covers only 15.4% of the $2.65M gap;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-292348/Assumptions!B11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2026-08-17T01:54:02Z</dcterms:created>
  <dcterms:modified xmlns:dcterms="http://purl.org/dc/terms/" xmlns:xsi="http://www.w3.org/2001/XMLSchema-instance" xsi:type="dcterms:W3CDTF">2026-08-17T01:54:02Z</dcterms:modified>
</cp:coreProperties>
</file>