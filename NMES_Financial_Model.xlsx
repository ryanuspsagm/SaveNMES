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 name="KY_Closures" sheetId="16" state="visible" r:id="rId16"/>
  </sheets>
  <definedNames/>
  <calcPr calcId="124519" fullCalcOnLoad="1"/>
</workbook>
</file>

<file path=xl/styles.xml><?xml version="1.0" encoding="utf-8"?>
<styleSheet xmlns="http://schemas.openxmlformats.org/spreadsheetml/2006/main">
  <numFmts count="5">
    <numFmt numFmtId="164" formatCode="$#,##0;($#,##0);&quot;-&quot;"/>
    <numFmt numFmtId="165" formatCode="#,##0;(#,##0);&quot;-&quot;"/>
    <numFmt numFmtId="166" formatCode="0.0%"/>
    <numFmt numFmtId="167" formatCode="0.0"/>
    <numFmt numFmtId="168" formatCode="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xf numFmtId="9"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V3 TWO-TAILED SENSITIVITY: SEVEN LEVERS, 1,944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Positions eliminated (net of re-created sections)</t>
        </is>
      </c>
      <c r="B39" s="10" t="n">
        <v>2</v>
      </c>
      <c r="C39" s="10" t="n">
        <v>3</v>
      </c>
      <c r="D39" s="10" t="n">
        <v>5</v>
      </c>
      <c r="E39" s="2" t="inlineStr">
        <is>
          <t>Class caps: receiving schools add ~4 sections while NMES's 9 dissolve</t>
        </is>
      </c>
    </row>
    <row r="40">
      <c r="A40" s="3" t="inlineStr">
        <is>
          <t>GF cost per position</t>
        </is>
      </c>
      <c r="B40" s="8" t="n">
        <v>50000</v>
      </c>
      <c r="C40" s="8" t="n">
        <v>60000</v>
      </c>
      <c r="D40" s="8" t="n">
        <v>75000</v>
      </c>
      <c r="E40" s="2" t="inlineStr">
        <is>
          <t>Published salary schedule + on-behalf structure</t>
        </is>
      </c>
    </row>
    <row r="41">
      <c r="A41" s="3" t="inlineStr">
        <is>
          <t>Fixed avoided (mothballed / sold)</t>
        </is>
      </c>
      <c r="B41" s="8" t="n">
        <v>230000</v>
      </c>
      <c r="C41" s="8" t="n">
        <v>290000</v>
      </c>
      <c r="D41" s="8" t="n">
        <v>290000</v>
      </c>
      <c r="E41" s="2" t="inlineStr">
        <is>
          <t>Principal+office $175K; plant $115K sold, ~$55K mothballed</t>
        </is>
      </c>
    </row>
    <row r="42">
      <c r="A42" s="3" t="inlineStr">
        <is>
          <t>Added busing</t>
        </is>
      </c>
      <c r="B42" s="8" t="n">
        <v>100000</v>
      </c>
      <c r="C42" s="8" t="n">
        <v>137500</v>
      </c>
      <c r="D42" s="8" t="n">
        <v>250000</v>
      </c>
      <c r="E42" s="2" t="inlineStr">
        <is>
          <t>110 sq mi zone (federal SABS); worst-reimbursed budget line</t>
        </is>
      </c>
    </row>
    <row r="43">
      <c r="A43" s="3" t="inlineStr">
        <is>
          <t>Students leaving district</t>
        </is>
      </c>
      <c r="B43" s="10" t="n">
        <v>0</v>
      </c>
      <c r="C43" s="10" t="n">
        <v>10</v>
      </c>
      <c r="D43" s="10" t="n">
        <v>30</v>
      </c>
      <c r="E43" s="2" t="inlineStr">
        <is>
          <t>x $4,626 SEEK; Paris Ind adjacent under HB 563; Millersburg precedent</t>
        </is>
      </c>
    </row>
    <row r="44">
      <c r="A44" s="3" t="inlineStr">
        <is>
          <t>Capacity debt service triggered</t>
        </is>
      </c>
      <c r="B44" s="10" t="n">
        <v>0</v>
      </c>
      <c r="C44" s="8" t="n">
        <v>115000</v>
      </c>
      <c r="D44" s="8" t="n">
        <v>231000</v>
      </c>
      <c r="E44" s="2" t="inlineStr">
        <is>
          <t>CRES 103 over approved rating; 2021 plan prices its kitchen/cafeteria deficient today</t>
        </is>
      </c>
    </row>
    <row r="45">
      <c r="A45" s="3" t="inlineStr">
        <is>
          <t>Assessment erosion, district share</t>
        </is>
      </c>
      <c r="B45" s="10" t="n">
        <v>0</v>
      </c>
      <c r="C45" s="8" t="n">
        <v>40000</v>
      </c>
      <c r="D45" s="8" t="n">
        <v>95000</v>
      </c>
      <c r="E45" s="2" t="inlineStr">
        <is>
          <t>Millersburg-calibrated; PVA records ask pending</t>
        </is>
      </c>
    </row>
    <row r="47">
      <c r="A47" s="3" t="inlineStr">
        <is>
          <t>Central case: net yearly effect</t>
        </is>
      </c>
      <c r="B47" s="23">
        <f>C41+C39*C40-C42-C43*Assumptions!B6-C44-C45</f>
        <v/>
      </c>
      <c r="C47" s="2" t="inlineStr">
        <is>
          <t>$131,240: about 5 percent of the structural deficit</t>
        </is>
      </c>
    </row>
    <row r="48">
      <c r="A48" s="3" t="inlineStr">
        <is>
          <t>Unfavorable tail (all levers adverse)</t>
        </is>
      </c>
      <c r="B48" s="9">
        <f>B41+B39*B40-D42-D43*Assumptions!B6-D44-D45</f>
        <v/>
      </c>
      <c r="C48" s="2" t="inlineStr">
        <is>
          <t>-$384,780 a year: the closure loses money</t>
        </is>
      </c>
    </row>
    <row r="49">
      <c r="A49" s="3" t="inlineStr">
        <is>
          <t>Favorable tail (all levers favorable)</t>
        </is>
      </c>
      <c r="B49" s="9">
        <f>D41+D39*D40-B42-B43*Assumptions!B6-B44-B45</f>
        <v/>
      </c>
      <c r="C49" s="2" t="inlineStr">
        <is>
          <t>+$565,000 a year: the ceiling, and still below the plan's $800K-$1M requirement</t>
        </is>
      </c>
    </row>
    <row r="50">
      <c r="A50" s="21" t="inlineStr">
        <is>
          <t>Distribution of all 1,944 combinations, equal weights, enumerated by build/closure_grid.py: positions take four values (2, 3, 4, 5), fixed-avoided takes two ($230,000 mothballed, $290,000 sold), and the five other levers three each (4 x 2 x 3^5 = 1,944). Median +$91,240; middle half -$17,500 to +$200,000; 28.8 percent (559 of 1,944, published as 29 percent) of scenarios negative. One-time transition costs $100K-$300K in year one are additional.</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2007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5"/>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 (avoided sections priced at the GF-borne $60K central, per the v3 on-behalf correction; range $50-75K)</t>
        </is>
      </c>
      <c r="B30" s="24">
        <f>B26-B27+B28*Assumptions!B69</f>
        <v/>
      </c>
    </row>
    <row r="31">
      <c r="A31" s="22" t="inlineStr">
        <is>
          <t>Net recurring benefit, high (two sections at the same GF-borne rate)</t>
        </is>
      </c>
      <c r="B31" s="23">
        <f>B26-B27+B29*Assumptions!B69</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Nine existing homerooms average 19.3 students at 174, inside every KRS 157.360 cap; only variable costs added</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$12,000, roughly thirty times the realistic figure.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16 percent over the five years, against 37 percent at Bourbon Central and 47 percent at Cane Ridge; only the divisor changed.</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Grade-by-grade enrollment is a records ask;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is minus $385K to plus $565K (median $91K)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3" t="inlineStr">
        <is>
          <t>VALIDATION AGAINST ACTUALS: the empirical marginal cost per student</t>
        </is>
      </c>
      <c r="B111" s="9">
        <f>(8902321-8606870)/(491-461)</f>
        <v/>
      </c>
      <c r="F111" s="21" t="inlineStr">
        <is>
          <t>The actual per-student cost difference between the district's own two large schools on the same 2023-24 filing, about $9,848: an all-in, actuals-derived marginal cost</t>
        </is>
      </c>
    </row>
    <row r="112">
      <c r="A112" s="3" t="inlineStr">
        <is>
          <t>NMES filled to 174 at that empirical marginal cost</t>
        </is>
      </c>
      <c r="B112" s="9">
        <f>(B34+(B6-B5)*B111)/B6</f>
        <v/>
      </c>
      <c r="F112" s="21" t="inlineStr">
        <is>
          <t>About $16,837: still below both receiving schools</t>
        </is>
      </c>
    </row>
    <row r="113">
      <c r="A113" s="3" t="inlineStr">
        <is>
          <t>NMES filled to 154 at that empirical marginal cost</t>
        </is>
      </c>
      <c r="B113" s="9">
        <f>(B34+(154-B5)*B111)/154</f>
        <v/>
      </c>
      <c r="F113" s="21" t="inlineStr">
        <is>
          <t>About $17,744: still below both receiving schools</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the county's ONLY private school (St. Mary, Paris, PK-5; federal Private School Survey 2023-24)</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22" t="inlineStr">
        <is>
          <t>Total identified (ranges overlap; not additive to the penny)</t>
        </is>
      </c>
      <c r="B14" s="24">
        <f>SUM(B4:B13)</f>
        <v/>
      </c>
      <c r="C14" s="24">
        <f>SUM(C4:C13)</f>
        <v/>
      </c>
    </row>
    <row r="16">
      <c r="A16" s="4" t="inlineStr">
        <is>
          <t>COMPARISON</t>
        </is>
      </c>
    </row>
    <row r="17">
      <c r="A17" s="3" t="inlineStr">
        <is>
          <t>Package midpoint (raw sum of ranges)</t>
        </is>
      </c>
      <c r="B17" s="9">
        <f>(B14+C14)/2</f>
        <v/>
      </c>
    </row>
    <row r="18">
      <c r="A18" s="3" t="inlineStr">
        <is>
          <t>Conservative combined estimate, low (haircut for overlap)</t>
        </is>
      </c>
      <c r="B18" s="14" t="n">
        <v>1100000</v>
      </c>
    </row>
    <row r="19">
      <c r="A19" s="3" t="inlineStr">
        <is>
          <t>Conservative combined estimate, high</t>
        </is>
      </c>
      <c r="B19" s="14" t="n">
        <v>2100000</v>
      </c>
    </row>
    <row r="20">
      <c r="A20" s="3" t="inlineStr">
        <is>
          <t>Conservative midpoint (used in Runway sheet)</t>
        </is>
      </c>
      <c r="B20" s="9">
        <f>(B18+B19)/2</f>
        <v/>
      </c>
    </row>
    <row r="21">
      <c r="A21" s="3" t="inlineStr">
        <is>
          <t>Average annual GF drawdown (FY2024-25)</t>
        </is>
      </c>
      <c r="B21" s="18">
        <f>GF_Summary!D16</f>
        <v/>
      </c>
    </row>
    <row r="22">
      <c r="A22" s="3" t="inlineStr">
        <is>
          <t>Closure net saving (base case)</t>
        </is>
      </c>
      <c r="B22" s="18">
        <f>Closure_Model!B20</f>
        <v/>
      </c>
    </row>
    <row r="24">
      <c r="A24" s="21" t="inlineStr">
        <is>
          <t>Reading: raw row sums run about $1.6M to $2.8M; the published $1.1M to $2.1M band applies a conservative haircut for overlap and implementation risk. Coverage is reported against both yardsticks: the $2.65M structural gap before transfers and the roughly $1.15M net drawdown after transfers (Closure_Model rows 21 and 35 carry both for closure).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Sits between the v3 closure model's median ($91,240) and central case ($131,240)</t>
        </is>
      </c>
    </row>
    <row r="47">
      <c r="A47" s="3" t="inlineStr">
        <is>
          <t>Closure model median (v3 two-tailed grid)</t>
        </is>
      </c>
      <c r="B47" s="8" t="n">
        <v>91240</v>
      </c>
      <c r="C47" s="9">
        <f>B47*(1-(1+B$40)^-B$41)/B$40</f>
        <v/>
      </c>
      <c r="F47" s="21" t="inlineStr">
        <is>
          <t>Closure_Model tab, 1,944-combination grid</t>
        </is>
      </c>
    </row>
    <row r="48">
      <c r="A48" s="3" t="inlineStr">
        <is>
          <t>Closure model best case (v3 favorable tail)</t>
        </is>
      </c>
      <c r="B48" s="8" t="n">
        <v>565000</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2" t="inlineStr">
        <is>
          <t>Total capacity available without closing a school</t>
        </is>
      </c>
      <c r="B105" s="24">
        <f>B101+B103+B104</f>
        <v/>
      </c>
      <c r="C105" s="24">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B6-GF_Summary!$D$16+0.5*Alternatives!$B$20</f>
        <v/>
      </c>
      <c r="D6" s="9">
        <f>C6-GF_Summary!$D$16+Alternatives!$B$20</f>
        <v/>
      </c>
      <c r="E6" s="9">
        <f>D6-GF_Summary!$D$16+Alternatives!$B$20</f>
        <v/>
      </c>
    </row>
    <row r="7">
      <c r="A7" s="3" t="inlineStr">
        <is>
          <t>Closure only (v3 central case, $131,240,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(v3): at the +$565,000 best case FY2029 ends near $1.4M; at the +$91,240 median the reserves are gone on nearly the status-quo schedule; in the 29 percent of scenarios that lose money, sooner than status quo.</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the v3 central case covers 5.0% of the gap (10.8% at the base case, 21.3% at the favorable tail); longer rides; enrollment-loss risk</t>
        </is>
      </c>
    </row>
    <row r="7">
      <c r="A7" s="3" t="inlineStr">
        <is>
          <t>3. Districtwide recovery plan (menu plus levy; includes rebalancing and growing NMES)</t>
        </is>
      </c>
      <c r="B7" s="18">
        <f>Alternatives!B20</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3"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4">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35" t="n">
        <v>0.887637</v>
      </c>
      <c r="C67" s="35" t="n">
        <v>0.819273</v>
      </c>
      <c r="D67" s="35" t="n">
        <v>0.823017</v>
      </c>
      <c r="E67" s="8" t="n">
        <v>4006243.38</v>
      </c>
      <c r="F67" s="8" t="n">
        <v>22636266.8</v>
      </c>
    </row>
    <row r="68">
      <c r="A68" s="3" t="inlineStr">
        <is>
          <t>Cane Ridge Elementary (1992)</t>
        </is>
      </c>
      <c r="B68" s="35" t="n">
        <v>0.8120579999999999</v>
      </c>
      <c r="C68" s="35" t="n">
        <v>0.811765</v>
      </c>
      <c r="D68" s="35" t="n">
        <v>0.728249</v>
      </c>
      <c r="E68" s="8" t="n">
        <v>4796308</v>
      </c>
      <c r="F68" s="8" t="n">
        <v>17649638.79</v>
      </c>
    </row>
    <row r="69">
      <c r="A69" s="3" t="inlineStr">
        <is>
          <t>North Middletown Elementary (1948/64)</t>
        </is>
      </c>
      <c r="B69" s="35" t="n">
        <v>0.694064</v>
      </c>
      <c r="C69" s="35" t="n">
        <v>0.702133</v>
      </c>
      <c r="D69" s="35" t="n">
        <v>0.773295</v>
      </c>
      <c r="E69" s="8" t="n">
        <v>3099147.93</v>
      </c>
      <c r="F69" s="8" t="n">
        <v>13670417.6</v>
      </c>
    </row>
    <row r="70">
      <c r="A70" s="3" t="inlineStr">
        <is>
          <t>Bourbon County Middle School (1948)</t>
        </is>
      </c>
      <c r="B70" s="35" t="n">
        <v>0.726249</v>
      </c>
      <c r="C70" s="35" t="n">
        <v>0.727501</v>
      </c>
      <c r="D70" s="35" t="n">
        <v>0.596145</v>
      </c>
      <c r="E70" s="8" t="n">
        <v>12167086.72</v>
      </c>
      <c r="F70" s="8" t="n">
        <v>30127350</v>
      </c>
    </row>
    <row r="71">
      <c r="A71" s="3" t="inlineStr">
        <is>
          <t>Bourbon County High School (1968)</t>
        </is>
      </c>
      <c r="B71" s="35" t="n">
        <v>0.809819</v>
      </c>
      <c r="C71" s="35" t="n">
        <v>0.802057</v>
      </c>
      <c r="D71" s="35" t="n">
        <v>0.792529</v>
      </c>
      <c r="E71" s="8" t="n">
        <v>10251532.33</v>
      </c>
      <c r="F71" s="8" t="n">
        <v>49411909.14</v>
      </c>
    </row>
    <row r="72">
      <c r="A72" s="3" t="inlineStr">
        <is>
          <t>Check: Condition Index = 1 - (4-year renewal needs / replacement value), NMES</t>
        </is>
      </c>
      <c r="B72" s="36">
        <f>1-E69/F69</f>
        <v/>
      </c>
    </row>
    <row r="73">
      <c r="A73" s="3" t="inlineStr">
        <is>
          <t>NMES change between inspection cycles (2020-21 to April 2026)</t>
        </is>
      </c>
      <c r="B73" s="36">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median saving</t>
        </is>
      </c>
      <c r="B11" s="10" t="n">
        <v>37</v>
      </c>
      <c r="C11" s="10" t="n">
        <v>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23">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23">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23">
        <f>800000/Assumptions!B11</f>
        <v/>
      </c>
      <c r="C34" s="23">
        <f>1000000/Assumptions!B11</f>
        <v/>
      </c>
    </row>
    <row r="35">
      <c r="A35" s="3" t="inlineStr">
        <is>
          <t>This report's own model, per displaced student: median / central / best case</t>
        </is>
      </c>
      <c r="B35" s="9">
        <f>91240/Assumptions!B11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7" t="n">
        <v>0.4</v>
      </c>
      <c r="C41" s="37"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CONVERGENCE CHECK: the record's plausible median vs this model's independent bottom-up median per displaced student</t>
        </is>
      </c>
      <c r="B44" s="8" t="n">
        <v>818</v>
      </c>
      <c r="C44" s="23">
        <f>91240/Assumptions!B11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29" t="n">
        <v>-2</v>
      </c>
      <c r="C49" s="29"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6"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2026-07-26T06:13:05Z</dcterms:created>
  <dcterms:modified xsi:type="dcterms:W3CDTF">2026-07-26T06:13:05Z</dcterms:modified>
</cp:coreProperties>
</file>