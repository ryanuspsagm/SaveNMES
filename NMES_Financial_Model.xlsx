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Assumptions!B35*Assumptions!B36</f>
        <v/>
      </c>
      <c r="C4" s="8" t="n">
        <v>450000</v>
      </c>
      <c r="D4" s="2" t="inlineStr">
        <is>
          <t>Low = 4% of FY2025 GF property tax;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1">
        <f>B13-B14</f>
        <v/>
      </c>
    </row>
    <row r="16">
      <c r="A16" s="3" t="inlineStr">
        <is>
          <t>NMES students needing seats on closure</t>
        </is>
      </c>
      <c r="B16" s="25">
        <f>Assumptions!B11</f>
        <v/>
      </c>
    </row>
    <row r="17">
      <c r="A17" s="3" t="inlineStr">
        <is>
          <t>Shortfall if closure proceeds today</t>
        </is>
      </c>
      <c r="B17" s="31">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1">
        <f>D30+D31</f>
        <v/>
      </c>
    </row>
    <row r="34">
      <c r="A34" s="3" t="inlineStr">
        <is>
          <t>NMES fill rate even at the draft's own 154 rating</t>
        </is>
      </c>
      <c r="B34" s="32">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1">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2026-07-20T14:18:47Z</dcterms:created>
  <dcterms:modified xsi:type="dcterms:W3CDTF">2026-07-20T14:18:47Z</dcterms:modified>
</cp:coreProperties>
</file>