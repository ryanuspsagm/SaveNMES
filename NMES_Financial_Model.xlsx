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GF_Summary" sheetId="3" state="visible" r:id="rId3"/>
    <sheet xmlns:r="http://schemas.openxmlformats.org/officeDocument/2006/relationships" name="Closure_Model" sheetId="4" state="visible" r:id="rId4"/>
    <sheet xmlns:r="http://schemas.openxmlformats.org/officeDocument/2006/relationships" name="Growth_Model" sheetId="5" state="visible" r:id="rId5"/>
    <sheet xmlns:r="http://schemas.openxmlformats.org/officeDocument/2006/relationships" name="Redistricting" sheetId="6" state="visible" r:id="rId6"/>
    <sheet xmlns:r="http://schemas.openxmlformats.org/officeDocument/2006/relationships" name="Transport_Geo" sheetId="7" state="visible" r:id="rId7"/>
    <sheet xmlns:r="http://schemas.openxmlformats.org/officeDocument/2006/relationships" name="Alternatives" sheetId="8" state="visible" r:id="rId8"/>
    <sheet xmlns:r="http://schemas.openxmlformats.org/officeDocument/2006/relationships" name="Debt_Service" sheetId="9" state="visible" r:id="rId9"/>
    <sheet xmlns:r="http://schemas.openxmlformats.org/officeDocument/2006/relationships" name="Runway" sheetId="10" state="visible" r:id="rId10"/>
    <sheet xmlns:r="http://schemas.openxmlformats.org/officeDocument/2006/relationships" name="Scenarios" sheetId="11" state="visible" r:id="rId11"/>
    <sheet xmlns:r="http://schemas.openxmlformats.org/officeDocument/2006/relationships" name="Tax_History" sheetId="12" state="visible" r:id="rId12"/>
    <sheet xmlns:r="http://schemas.openxmlformats.org/officeDocument/2006/relationships" name="Demographics" sheetId="13" state="visible" r:id="rId13"/>
    <sheet xmlns:r="http://schemas.openxmlformats.org/officeDocument/2006/relationships" name="School_Data" sheetId="14" state="visible" r:id="rId14"/>
    <sheet xmlns:r="http://schemas.openxmlformats.org/officeDocument/2006/relationships" name="Facility_Plans" sheetId="15" state="visible" r:id="rId15"/>
    <sheet xmlns:r="http://schemas.openxmlformats.org/officeDocument/2006/relationships" name="KY_Closures" sheetId="16" state="visible" r:id="rId16"/>
    <sheet xmlns:r="http://schemas.openxmlformats.org/officeDocument/2006/relationships" name="School_Costs" sheetId="17" state="visible" r:id="rId17"/>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
    <numFmt numFmtId="168" formatCode="0.0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65" fontId="8"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8"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8" fillId="0" borderId="0" pivotButton="0" quotePrefix="0" xfId="0"/>
    <xf numFmtId="167" fontId="7" fillId="3" borderId="0" pivotButton="0" quotePrefix="0" xfId="0"/>
    <xf numFmtId="166" fontId="8" fillId="0" borderId="0" pivotButton="0" quotePrefix="0" xfId="0"/>
    <xf numFmtId="168" fontId="5" fillId="0" borderId="0" pivotButton="0" quotePrefix="0" xfId="0"/>
    <xf numFmtId="168" fontId="8" fillId="0" borderId="0" pivotButton="0" quotePrefix="0" xfId="0"/>
    <xf numFmtId="167" fontId="8" fillId="0" borderId="0" pivotButton="0" quotePrefix="0" xfId="0"/>
    <xf numFmtId="172" fontId="3" fillId="0" borderId="0" pivotButton="0" quotePrefix="0" xfId="0"/>
    <xf numFmtId="173" fontId="3" fillId="0" borderId="0" pivotButton="0" quotePrefix="0" xfId="0"/>
    <xf numFmtId="168"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secretary, extended day)</t>
        </is>
      </c>
      <c r="B51" s="14" t="n">
        <v>131724</v>
      </c>
      <c r="C51" s="2" t="inlineStr">
        <is>
          <t>MEASURED v3.9: district FY2026 working budget, location 090, General Fund program 077, excl on-behalf. Was a $175,000 estimate through v3.8.</t>
        </is>
      </c>
    </row>
    <row r="52">
      <c r="A52" s="3" t="inlineStr">
        <is>
          <t>Plant operations avoided (custodial + utilities, sanitation, water)</t>
        </is>
      </c>
      <c r="B52" s="14" t="n">
        <v>96107</v>
      </c>
      <c r="C52" s="2" t="inlineStr">
        <is>
          <t>MEASURED v3.9: same source, custodial program 087 $37,333 + plant program 987 $58,774. B51+B52 = $227,831, the grid's mothballed case. Was a $115,000 estimate through v3.8.</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V3.9 TWO-TAILED SENSITIVITY: SEVEN LEVERS, 2,916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Positions eliminated (net of re-created sections)</t>
        </is>
      </c>
      <c r="B39" s="10" t="n">
        <v>2</v>
      </c>
      <c r="C39" s="10" t="n">
        <v>3</v>
      </c>
      <c r="D39" s="10" t="n">
        <v>5</v>
      </c>
      <c r="E39" s="2" t="inlineStr">
        <is>
          <t>Class caps: receiving schools add ~4 sections while NMES's 9 dissolve</t>
        </is>
      </c>
    </row>
    <row r="40">
      <c r="A40" s="3" t="inlineStr">
        <is>
          <t>GF cost per position</t>
        </is>
      </c>
      <c r="B40" s="8" t="n">
        <v>50000</v>
      </c>
      <c r="C40" s="8" t="n">
        <v>60000</v>
      </c>
      <c r="D40" s="8" t="n">
        <v>75000</v>
      </c>
      <c r="E40" s="2" t="inlineStr">
        <is>
          <t>Published salary schedule + on-behalf structure</t>
        </is>
      </c>
    </row>
    <row r="41">
      <c r="A41" s="3" t="inlineStr">
        <is>
          <t>Fixed avoided (reassigned / mothballed / sold)</t>
        </is>
      </c>
      <c r="B41" s="8" t="n">
        <v>58774</v>
      </c>
      <c r="C41" s="8" t="n">
        <v>227831</v>
      </c>
      <c r="D41" s="8" t="n">
        <v>276928</v>
      </c>
      <c r="E41" s="2" t="inlineStr">
        <is>
          <t>MEASURED v3.9 from the district FY2026 working budget, location 090, General Fund, excl on-behalf: school admin (2400) $132,744 + plant (2600) $96,107 = $228,851 vs the $230,000 mothballed lever, a 0.5% miss; adding the library/media line $49,097 gives $277,948 vs the $290,000 sold lever. NOTE: $230,000 is this grid FLOOR and assumes principal, secretary, custodian and utilities are all eliminated rather than reassigned; a redeployment case (utilities only, $58,774) is not in the grid.</t>
        </is>
      </c>
    </row>
    <row r="42">
      <c r="A42" s="3" t="inlineStr">
        <is>
          <t>Added busing</t>
        </is>
      </c>
      <c r="B42" s="8" t="n">
        <v>100000</v>
      </c>
      <c r="C42" s="8" t="n">
        <v>137500</v>
      </c>
      <c r="D42" s="8" t="n">
        <v>250000</v>
      </c>
      <c r="E42" s="2" t="inlineStr">
        <is>
          <t>110 sq mi zone (federal SABS); worst-reimbursed budget line. Treated as net new cost with nothing in the school's own code to offset it: student transportation coded to location 090 in the FY2026 working budget is $2,000, while location 901 is 100 percent function 2700 at $2,688,247, the only material transportation coding in the district.</t>
        </is>
      </c>
    </row>
    <row r="43">
      <c r="A43" s="3" t="inlineStr">
        <is>
          <t>Students leaving district</t>
        </is>
      </c>
      <c r="B43" s="10" t="n">
        <v>0</v>
      </c>
      <c r="C43" s="10" t="n">
        <v>10</v>
      </c>
      <c r="D43" s="10" t="n">
        <v>30</v>
      </c>
      <c r="E43" s="2" t="inlineStr">
        <is>
          <t>x $4,626 SEEK; scenario values; exits free and funded under HB 563, homeschool and statewide virtual academy growing</t>
        </is>
      </c>
    </row>
    <row r="44">
      <c r="A44" s="3" t="inlineStr">
        <is>
          <t>Capacity debt service triggered</t>
        </is>
      </c>
      <c r="B44" s="10" t="n">
        <v>0</v>
      </c>
      <c r="C44" s="8" t="n">
        <v>115000</v>
      </c>
      <c r="D44" s="8" t="n">
        <v>231000</v>
      </c>
      <c r="E44" s="2" t="inlineStr">
        <is>
          <t>CRES 103 over approved rating; 2021 plan prices its kitchen/cafeteria deficient today</t>
        </is>
      </c>
    </row>
    <row r="45">
      <c r="A45" s="3" t="inlineStr">
        <is>
          <t>Assessment erosion, district share</t>
        </is>
      </c>
      <c r="B45" s="10" t="n">
        <v>0</v>
      </c>
      <c r="C45" s="8" t="n">
        <v>40000</v>
      </c>
      <c r="D45" s="8" t="n">
        <v>95000</v>
      </c>
      <c r="E45" s="2" t="inlineStr">
        <is>
          <t>Millersburg-calibrated; PVA records ask pending</t>
        </is>
      </c>
    </row>
    <row r="47">
      <c r="A47" s="3" t="inlineStr">
        <is>
          <t>Central case: net yearly effect</t>
        </is>
      </c>
      <c r="B47" s="23">
        <f>C41+C39*C40-C42-C43*Assumptions!B6-C44-C45</f>
        <v/>
      </c>
      <c r="C47" s="2" t="inlineStr">
        <is>
          <t>$69,071: about 2.6 percent of the structural deficit</t>
        </is>
      </c>
    </row>
    <row r="48">
      <c r="A48" s="3" t="inlineStr">
        <is>
          <t>Unfavorable tail (all levers adverse)</t>
        </is>
      </c>
      <c r="B48" s="9">
        <f>B41+B39*B40-D42-D43*Assumptions!B6-D44-D45</f>
        <v/>
      </c>
      <c r="C48" s="2" t="inlineStr">
        <is>
          <t>-$556,006 a year: the closure loses money</t>
        </is>
      </c>
    </row>
    <row r="49">
      <c r="A49" s="3" t="inlineStr">
        <is>
          <t>Favorable tail (all levers favorable)</t>
        </is>
      </c>
      <c r="B49" s="9">
        <f>D41+D39*D40-B42-B43*Assumptions!B6-B44-B45</f>
        <v/>
      </c>
      <c r="C49" s="2" t="inlineStr">
        <is>
          <t>+$551,928 a year: the ceiling, and still below the plan's $800K-$1M requirement</t>
        </is>
      </c>
    </row>
    <row r="50">
      <c r="A50" s="21" t="inlineStr">
        <is>
          <t>Distribution of all 2,916 combinations, equal weights, enumerated by build/closure_grid.py: positions take four values (2, 3, 4, 5) and the six other levers three each (4 x 3^6 = 2,916). Median +$21,571; middle half -$104,726 to +$146,274; 45.06 percent (1,314 of 2,916, published as 45 percent) of scenarios negative. One-time transition costs $100K-$300K in year one are additional. REBUILT IN v3.9: the fixed-avoided lever previously took two estimated values ($230,000 mothballed, $290,000 sold), both of which assumed every fixed position at the school is eliminated. It now takes three measured values from the district FY2026 working budget, location 090, General Fund, excl on-behalf: $58,774 (staff reassigned to other buildings, utilities only), $227,831 (mothballed: school admin $131,724 + custodial $37,333 + plant $58,774) and $276,928 (sold: the above plus library and media $49,097). Adding the reassignment case moved the median from +$91,240 to +$21,571 and the negative share from 28.8 to 45.1 percent.</t>
        </is>
      </c>
    </row>
    <row r="52">
      <c r="A52" s="4" t="inlineStr">
        <is>
          <t>HOSTILE PAPER CASE, PUBLISHED WITH ITS REFUTATION</t>
        </is>
      </c>
    </row>
    <row r="53">
      <c r="A53" s="3" t="inlineStr">
        <is>
          <t>Every absorbed student priced at the empirical $9,848 marginal</t>
        </is>
      </c>
      <c r="B53" s="9">
        <f>Assumptions!B14*Assumptions!B11-128*Redistricting!B111-137500-10*Assumptions!B6</f>
        <v/>
      </c>
      <c r="C53" s="21" t="inlineStr">
        <is>
          <t>About $1.03M on paper. But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5"/>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 (avoided and added sections both priced at the GF-borne $60K central; v3.8 subtracts the NMES additions)</t>
        </is>
      </c>
      <c r="B30" s="24">
        <f>B26-B27+(B28-B24)*Assumptions!B69</f>
        <v/>
      </c>
    </row>
    <row r="31">
      <c r="A31" s="22" t="inlineStr">
        <is>
          <t>Net recurring benefit, high (two avoided sections, same NMES debit)</t>
        </is>
      </c>
      <c r="B31" s="23">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Nine existing homerooms average 19.3 students at 174, inside every KRS 157.360 cap; only variable costs added</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Grade-by-grade enrollment is a records ask;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is minus $385K to plus $565K (median $91K)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that appear in no archived source file and that contradict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6">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the county's ONLY private school (St. Mary, Paris, PK-5; federal Private School Survey 2023-24)</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18">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23">
        <f>46*Assumptions!B6</f>
        <v/>
      </c>
    </row>
    <row r="134">
      <c r="A134" s="3" t="inlineStr">
        <is>
          <t>Capture rate that requires: share of registered homeschoolers / share of the full ACS pool</t>
        </is>
      </c>
      <c r="B134" s="19">
        <f>46/B119</f>
        <v/>
      </c>
      <c r="C134" s="19">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7">
        <f>B5*B9</f>
        <v/>
      </c>
    </row>
    <row r="11">
      <c r="A11" s="3" t="inlineStr">
        <is>
          <t>Paris-area zones (sq mi)</t>
        </is>
      </c>
      <c r="B11" s="27">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8" t="n">
        <v>2.5</v>
      </c>
      <c r="C27" s="2" t="inlineStr">
        <is>
          <t>Fuel, maintenance, driver time; replace with district cost data</t>
        </is>
      </c>
    </row>
    <row r="28">
      <c r="A28" s="3" t="inlineStr">
        <is>
          <t>Marginal cost per bus-mile, high</t>
        </is>
      </c>
      <c r="B28" s="28"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9"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9" t="n">
        <v>8.871</v>
      </c>
      <c r="C55" s="2" t="inlineStr">
        <is>
          <t>Great-circle between the school points; unrounded so derived cells match build/zone_distances.json</t>
        </is>
      </c>
    </row>
    <row r="56">
      <c r="A56" s="3" t="inlineStr">
        <is>
          <t>Measured road distance, US 460 (miles)</t>
        </is>
      </c>
      <c r="B56" s="29" t="n">
        <v>10</v>
      </c>
      <c r="C56" s="2" t="inlineStr">
        <is>
          <t>The one pair that can be measured exactly</t>
        </is>
      </c>
    </row>
    <row r="57">
      <c r="A57" s="3" t="inlineStr">
        <is>
          <t>Implied road factor on the measured pair</t>
        </is>
      </c>
      <c r="B57" s="30">
        <f>B56/B55</f>
        <v/>
      </c>
    </row>
    <row r="58">
      <c r="A58" s="3" t="inlineStr">
        <is>
          <t>Road factor applied elsewhere (the measured US 460 pair implies 1.13)</t>
        </is>
      </c>
      <c r="B58" s="28" t="n">
        <v>1.2</v>
      </c>
    </row>
    <row r="59">
      <c r="A59" s="3" t="inlineStr">
        <is>
          <t>Area-average added distance under closure, one way, straight-line</t>
        </is>
      </c>
      <c r="B59" s="29"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9" t="n">
        <v>15.1</v>
      </c>
      <c r="C61" s="2" t="inlineStr">
        <is>
          <t>8.3 miles to NMES; near the Nicholas County line</t>
        </is>
      </c>
    </row>
    <row r="62">
      <c r="A62" s="3" t="inlineStr">
        <is>
          <t>Farthest corner by road: to Paris / to NMES (miles)</t>
        </is>
      </c>
      <c r="B62" s="27">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3" t="inlineStr">
        <is>
          <t>District-wide recruitment beyond NMES's 46 seats (homeschool, private-school, nonresident incentives; v3.8)</t>
        </is>
      </c>
      <c r="B14" s="18">
        <f>25*(Assumptions!B6-Assumptions!B62)</f>
        <v/>
      </c>
      <c r="C14" s="18">
        <f>50*(Assumptions!B6-Assumptions!B62)</f>
        <v/>
      </c>
      <c r="D14" s="2" t="inlineStr">
        <is>
          <t>25-50 additional students at $4,226 net; pool measured on Redistricting rows 116-135 (259 registered homeschoolers, ACS pool ~1,135, net import already 189); 62 open seats exist at Bourbon Central's approved rating</t>
        </is>
      </c>
      <c r="E14" s="2" t="inlineStr">
        <is>
          <t>New revenue</t>
        </is>
      </c>
      <c r="F14" s="2" t="inlineStr">
        <is>
          <t>Medium; needs an enrollment marketing plan and incentive design</t>
        </is>
      </c>
    </row>
    <row r="15">
      <c r="A15" s="22" t="inlineStr">
        <is>
          <t>Total identified (ranges overlap; not additive to the penny)</t>
        </is>
      </c>
      <c r="B15" s="24">
        <f>SUM(B4:B14)</f>
        <v/>
      </c>
      <c r="C15" s="24">
        <f>SUM(C4:C14)</f>
        <v/>
      </c>
    </row>
    <row r="17">
      <c r="A17" s="4" t="inlineStr">
        <is>
          <t>COMPARISON</t>
        </is>
      </c>
    </row>
    <row r="18">
      <c r="A18" s="3" t="inlineStr">
        <is>
          <t>Package midpoint (raw sum of ranges)</t>
        </is>
      </c>
      <c r="B18" s="9">
        <f>(B15+C15)/2</f>
        <v/>
      </c>
    </row>
    <row r="19">
      <c r="A19" s="3" t="inlineStr">
        <is>
          <t>Conservative combined estimate, low (haircut for overlap)</t>
        </is>
      </c>
      <c r="B19" s="14" t="n">
        <v>1100000</v>
      </c>
    </row>
    <row r="20">
      <c r="A20" s="3" t="inlineStr">
        <is>
          <t>Conservative combined estimate, high</t>
        </is>
      </c>
      <c r="B20" s="14" t="n">
        <v>2100000</v>
      </c>
    </row>
    <row r="21">
      <c r="A21" s="3" t="inlineStr">
        <is>
          <t>Conservative midpoint (used in Runway sheet)</t>
        </is>
      </c>
      <c r="B21" s="9">
        <f>(B19+B20)/2</f>
        <v/>
      </c>
    </row>
    <row r="22">
      <c r="A22" s="3" t="inlineStr">
        <is>
          <t>Average annual GF drawdown (FY2024-25)</t>
        </is>
      </c>
      <c r="B22" s="18">
        <f>GF_Summary!D16</f>
        <v/>
      </c>
    </row>
    <row r="23">
      <c r="A23" s="3" t="inlineStr">
        <is>
          <t>Closure net saving (base case)</t>
        </is>
      </c>
      <c r="B23" s="18">
        <f>Closure_Model!B20</f>
        <v/>
      </c>
    </row>
    <row r="25">
      <c r="A25" s="21" t="inlineStr">
        <is>
          <t>Reading: raw row sums run about $1.6M to $2.9M; the published $1.1M to $2.1M band applies a conservative haircut for overlap and implementation risk. Coverage is reported against both yardsticks: the $2.65M structural gap before transfers and the roughly $1.15M net drawdown after transfers (Closure_Model rows 21 and 35 carry both for closure).</t>
        </is>
      </c>
    </row>
    <row r="27">
      <c r="A27" s="4" t="inlineStr">
        <is>
          <t>THE GROWTH PATH: THE SAME MENU AS A DISTRICT-WIDE RECOVERY PLAN (v3.8; backs the site card and Section 9)</t>
        </is>
      </c>
    </row>
    <row r="28">
      <c r="A28" s="3" t="inlineStr">
        <is>
          <t>Move 1: inspect fixed costs, starting with administration (attrition, admin restraint, transport, reimbursements, energy, shared services)</t>
        </is>
      </c>
      <c r="B28" s="23">
        <f>SUM(B7:B12)</f>
        <v/>
      </c>
      <c r="C28" s="23">
        <f>SUM(C7:C12)</f>
        <v/>
      </c>
    </row>
    <row r="29">
      <c r="A29" s="3" t="inlineStr">
        <is>
          <t>Move 2: grow enrollment instead of shrinking it (attendance recovery, fill NMES, district-wide recruitment)</t>
        </is>
      </c>
      <c r="B29" s="23">
        <f>B6+B13+B14</f>
        <v/>
      </c>
      <c r="C29" s="23">
        <f>C6+C13+C14</f>
        <v/>
      </c>
    </row>
    <row r="30">
      <c r="A30" s="3" t="inlineStr">
        <is>
          <t>Move 3: the honest revenue conversation, year one (4 percent option plus delinquency; compounds by year three; recallable menu beyond it on Tax_History rows 70-91)</t>
        </is>
      </c>
      <c r="B30" s="23">
        <f>B4+B5</f>
        <v/>
      </c>
      <c r="C30" s="23">
        <f>C4+C5</f>
        <v/>
      </c>
    </row>
    <row r="31">
      <c r="A31" s="3" t="inlineStr">
        <is>
          <t>Growth plan total (equals the raw sum above; the published band is the conservative cut of the same rows)</t>
        </is>
      </c>
      <c r="B31" s="23">
        <f>B28+B29+B30</f>
        <v/>
      </c>
      <c r="C31" s="23">
        <f>C28+C29+C30</f>
        <v/>
      </c>
    </row>
    <row r="32">
      <c r="A3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9"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1">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2" t="n">
        <v>20</v>
      </c>
    </row>
    <row r="42">
      <c r="A42" s="3" t="inlineStr">
        <is>
          <t>Annual debt service on the proposed bond</t>
        </is>
      </c>
      <c r="B42" s="31">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v3.9 closure model's median ($21,571) and central case ($69,071)</t>
        </is>
      </c>
    </row>
    <row r="47">
      <c r="A47" s="3" t="inlineStr">
        <is>
          <t>Closure model median (v3.9 two-tailed grid)</t>
        </is>
      </c>
      <c r="B47" s="8" t="n">
        <v>21571</v>
      </c>
      <c r="C47" s="9">
        <f>B47*(1-(1+B$40)^-B$41)/B$40</f>
        <v/>
      </c>
      <c r="F47" s="21" t="inlineStr">
        <is>
          <t>Closure_Model tab, 2,916-combination grid</t>
        </is>
      </c>
    </row>
    <row r="48">
      <c r="A48" s="3" t="inlineStr">
        <is>
          <t>Closure model best case (v3.9 favorable tail)</t>
        </is>
      </c>
      <c r="B48" s="8" t="n">
        <v>551928</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1">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2" t="inlineStr">
        <is>
          <t>Total capacity available without closing a school</t>
        </is>
      </c>
      <c r="B105" s="24">
        <f>B101+B103+B104</f>
        <v/>
      </c>
      <c r="C105" s="24">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B6-GF_Summary!$D$16+0.5*Alternatives!$B$20</f>
        <v/>
      </c>
      <c r="D6" s="9">
        <f>C6-GF_Summary!$D$16+Alternatives!$B$20</f>
        <v/>
      </c>
      <c r="E6" s="9">
        <f>D6-GF_Summary!$D$16+Alternatives!$B$20</f>
        <v/>
      </c>
    </row>
    <row r="7">
      <c r="A7" s="3" t="inlineStr">
        <is>
          <t>Closure only (v3.9 central case, $69,071,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(v3.9): at the +$551,928 best case FY2029 ends near $1.4M; at the +$21,571 median the reserves are gone on essentially the status-quo schedule; in the 45 percent of scenarios that lose money, sooner than status quo.</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the v3 central case covers 5.0% of the gap (10.8% at the base case, 21.3% at the favorable tail); longer rides; enrollment-loss risk</t>
        </is>
      </c>
    </row>
    <row r="7">
      <c r="A7" s="3" t="inlineStr">
        <is>
          <t>3. Districtwide recovery plan (menu plus levy; includes rebalancing and growing NMES)</t>
        </is>
      </c>
      <c r="B7" s="18">
        <f>Alternatives!B20</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9" t="n">
        <v>61.3</v>
      </c>
      <c r="G5" s="21" t="inlineStr">
        <is>
          <t>2019 documented as the board taking the 4% option (Bourbon County Citizen, 9/4/2019); other years' rate type undetermined pending KDE levy files</t>
        </is>
      </c>
    </row>
    <row r="6">
      <c r="A6" s="3" t="inlineStr">
        <is>
          <t>2019</t>
        </is>
      </c>
      <c r="B6" s="29" t="n">
        <v>60.6</v>
      </c>
    </row>
    <row r="7">
      <c r="A7" s="3" t="inlineStr">
        <is>
          <t>2020</t>
        </is>
      </c>
      <c r="B7" s="29" t="n">
        <v>55.9</v>
      </c>
    </row>
    <row r="8">
      <c r="A8" s="3" t="inlineStr">
        <is>
          <t>2021</t>
        </is>
      </c>
      <c r="B8" s="29" t="n">
        <v>54.2</v>
      </c>
    </row>
    <row r="9">
      <c r="A9" s="3" t="inlineStr">
        <is>
          <t>2022</t>
        </is>
      </c>
      <c r="B9" s="29" t="n">
        <v>49.2</v>
      </c>
    </row>
    <row r="10">
      <c r="A10" s="3" t="inlineStr">
        <is>
          <t>2023</t>
        </is>
      </c>
      <c r="B10" s="29" t="n">
        <v>52.4</v>
      </c>
    </row>
    <row r="11">
      <c r="A11" s="3" t="inlineStr">
        <is>
          <t>2024</t>
        </is>
      </c>
      <c r="B11" s="29" t="n">
        <v>52.4</v>
      </c>
    </row>
    <row r="12">
      <c r="A12" s="3" t="inlineStr">
        <is>
          <t>2025</t>
        </is>
      </c>
      <c r="B12" s="29" t="n">
        <v>52.4</v>
      </c>
    </row>
    <row r="14">
      <c r="A14" s="3" t="inlineStr">
        <is>
          <t>Tangible/personal rate (recent)</t>
        </is>
      </c>
      <c r="B14" s="29" t="n">
        <v>64.5</v>
      </c>
    </row>
    <row r="15">
      <c r="A15" s="3" t="inlineStr">
        <is>
          <t>Motor vehicle rate</t>
        </is>
      </c>
      <c r="B15" s="29" t="n">
        <v>54.7</v>
      </c>
    </row>
    <row r="16">
      <c r="A16" s="3" t="inlineStr">
        <is>
          <t>Utility gross receipts</t>
        </is>
      </c>
      <c r="B16" s="13" t="n">
        <v>0.03</v>
      </c>
    </row>
    <row r="18">
      <c r="A18" s="4" t="inlineStr">
        <is>
          <t>AREA DISTRICTS, LEVIED REAL ESTATE RATE 2024-25</t>
        </is>
      </c>
    </row>
    <row r="19">
      <c r="A19" s="3" t="inlineStr">
        <is>
          <t>Fayette County</t>
        </is>
      </c>
      <c r="B19" s="29"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9" t="n">
        <v>71.5</v>
      </c>
    </row>
    <row r="21">
      <c r="A21" s="3" t="inlineStr">
        <is>
          <t>Clark County</t>
        </is>
      </c>
      <c r="B21" s="29" t="n">
        <v>66.8</v>
      </c>
    </row>
    <row r="22">
      <c r="A22" s="3" t="inlineStr">
        <is>
          <t>Bath County</t>
        </is>
      </c>
      <c r="B22" s="29" t="n">
        <v>63.4</v>
      </c>
    </row>
    <row r="23">
      <c r="A23" s="3" t="inlineStr">
        <is>
          <t>Scott County</t>
        </is>
      </c>
      <c r="B23" s="29" t="n">
        <v>62.9</v>
      </c>
    </row>
    <row r="24">
      <c r="A24" s="3" t="inlineStr">
        <is>
          <t>Harrison County</t>
        </is>
      </c>
      <c r="B24" s="29" t="n">
        <v>57.7</v>
      </c>
    </row>
    <row r="25">
      <c r="A25" s="3" t="inlineStr">
        <is>
          <t>Montgomery County</t>
        </is>
      </c>
      <c r="B25" s="29" t="n">
        <v>52.5</v>
      </c>
    </row>
    <row r="26">
      <c r="A26" s="3" t="inlineStr">
        <is>
          <t>Bourbon County</t>
        </is>
      </c>
      <c r="B26" s="29" t="n">
        <v>52.4</v>
      </c>
    </row>
    <row r="27">
      <c r="A27" s="3" t="inlineStr">
        <is>
          <t>Nicholas County</t>
        </is>
      </c>
      <c r="B27" s="29" t="n">
        <v>43.1</v>
      </c>
    </row>
    <row r="28">
      <c r="A28" s="3" t="inlineStr">
        <is>
          <t>Statewide school average (DOR Table II, 2025)</t>
        </is>
      </c>
      <c r="B28" s="29"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17" t="inlineStr">
        <is>
          <t>District</t>
        </is>
      </c>
      <c r="B57" s="17" t="inlineStr">
        <is>
          <t>2012-13</t>
        </is>
      </c>
      <c r="C57" s="17" t="inlineStr">
        <is>
          <t>2013-14</t>
        </is>
      </c>
      <c r="D57" s="17" t="inlineStr">
        <is>
          <t>2014-15</t>
        </is>
      </c>
      <c r="E57" s="17" t="inlineStr">
        <is>
          <t>2015-16</t>
        </is>
      </c>
      <c r="F57" s="17" t="inlineStr">
        <is>
          <t>2016-17</t>
        </is>
      </c>
      <c r="G57" s="17" t="inlineStr">
        <is>
          <t>2017-18</t>
        </is>
      </c>
      <c r="H57" s="17" t="inlineStr">
        <is>
          <t>2018-19</t>
        </is>
      </c>
      <c r="I57" s="17" t="inlineStr">
        <is>
          <t>2019-20</t>
        </is>
      </c>
      <c r="J57" s="17" t="inlineStr">
        <is>
          <t>2020-21</t>
        </is>
      </c>
      <c r="K57" s="17" t="inlineStr">
        <is>
          <t>2021-22</t>
        </is>
      </c>
      <c r="L57" s="17" t="inlineStr">
        <is>
          <t>2022-23</t>
        </is>
      </c>
      <c r="M57" s="17" t="inlineStr">
        <is>
          <t>2023-24</t>
        </is>
      </c>
      <c r="N57" s="17" t="inlineStr">
        <is>
          <t>2024-25</t>
        </is>
      </c>
      <c r="O57" s="17" t="inlineStr">
        <is>
          <t>2025-26</t>
        </is>
      </c>
      <c r="P57" s="17" t="inlineStr">
        <is>
          <t>Change</t>
        </is>
      </c>
    </row>
    <row r="58">
      <c r="A58" s="3" t="inlineStr">
        <is>
          <t>Bath</t>
        </is>
      </c>
      <c r="B58" s="29" t="n">
        <v>36.8</v>
      </c>
      <c r="C58" s="29" t="n">
        <v>44</v>
      </c>
      <c r="D58" s="29" t="n">
        <v>44.2</v>
      </c>
      <c r="E58" s="29" t="n">
        <v>44.8</v>
      </c>
      <c r="F58" s="29" t="n">
        <v>44.8</v>
      </c>
      <c r="G58" s="29" t="n">
        <v>47.2</v>
      </c>
      <c r="H58" s="29" t="n">
        <v>52.6</v>
      </c>
      <c r="I58" s="29" t="n">
        <v>52.6</v>
      </c>
      <c r="J58" s="29" t="n">
        <v>52.6</v>
      </c>
      <c r="K58" s="29" t="n">
        <v>52.4</v>
      </c>
      <c r="L58" s="29" t="n">
        <v>54.1</v>
      </c>
      <c r="M58" s="29" t="n">
        <v>57.8</v>
      </c>
      <c r="N58" s="29" t="n">
        <v>60.7</v>
      </c>
      <c r="O58" s="29" t="n">
        <v>63.4</v>
      </c>
      <c r="P58" s="33">
        <f>(O58/B58-1)</f>
        <v/>
      </c>
    </row>
    <row r="59">
      <c r="A59" s="3" t="inlineStr">
        <is>
          <t>Scott</t>
        </is>
      </c>
      <c r="B59" s="29" t="n">
        <v>45.3</v>
      </c>
      <c r="C59" s="29" t="n">
        <v>47.2</v>
      </c>
      <c r="D59" s="29" t="n">
        <v>47.6</v>
      </c>
      <c r="E59" s="29" t="n">
        <v>49</v>
      </c>
      <c r="F59" s="29" t="n">
        <v>49.6</v>
      </c>
      <c r="G59" s="29" t="n">
        <v>56.4</v>
      </c>
      <c r="H59" s="29" t="n">
        <v>56.4</v>
      </c>
      <c r="I59" s="29" t="n">
        <v>57.1</v>
      </c>
      <c r="J59" s="29" t="n">
        <v>57.6</v>
      </c>
      <c r="K59" s="29" t="n">
        <v>58.1</v>
      </c>
      <c r="L59" s="29" t="n">
        <v>58.1</v>
      </c>
      <c r="M59" s="29" t="n">
        <v>62.8</v>
      </c>
      <c r="N59" s="29" t="n">
        <v>62.9</v>
      </c>
      <c r="O59" s="29" t="n">
        <v>62.9</v>
      </c>
      <c r="P59" s="33">
        <f>(O59/B59-1)</f>
        <v/>
      </c>
    </row>
    <row r="60">
      <c r="A60" s="3" t="inlineStr">
        <is>
          <t>Harrison</t>
        </is>
      </c>
      <c r="B60" s="29" t="n">
        <v>43</v>
      </c>
      <c r="C60" s="29" t="n">
        <v>45.2</v>
      </c>
      <c r="D60" s="29" t="n">
        <v>47.2</v>
      </c>
      <c r="E60" s="29" t="n">
        <v>47.3</v>
      </c>
      <c r="F60" s="29" t="n">
        <v>49</v>
      </c>
      <c r="G60" s="29" t="n">
        <v>50.5</v>
      </c>
      <c r="H60" s="29" t="n">
        <v>50.5</v>
      </c>
      <c r="I60" s="29" t="n">
        <v>51.7</v>
      </c>
      <c r="J60" s="29" t="n">
        <v>51.7</v>
      </c>
      <c r="K60" s="29" t="n">
        <v>57.7</v>
      </c>
      <c r="L60" s="29" t="n">
        <v>57.7</v>
      </c>
      <c r="M60" s="29" t="n">
        <v>57.7</v>
      </c>
      <c r="N60" s="29" t="n">
        <v>57.7</v>
      </c>
      <c r="O60" s="29" t="n">
        <v>57.7</v>
      </c>
      <c r="P60" s="33">
        <f>(O60/B60-1)</f>
        <v/>
      </c>
    </row>
    <row r="61">
      <c r="A61" s="3" t="inlineStr">
        <is>
          <t>Clark</t>
        </is>
      </c>
      <c r="B61" s="29" t="n">
        <v>53.6</v>
      </c>
      <c r="C61" s="29" t="n">
        <v>55.9</v>
      </c>
      <c r="D61" s="29" t="n">
        <v>57.4</v>
      </c>
      <c r="E61" s="29" t="n">
        <v>60</v>
      </c>
      <c r="F61" s="29" t="n">
        <v>62.2</v>
      </c>
      <c r="G61" s="29" t="n">
        <v>62.2</v>
      </c>
      <c r="H61" s="29" t="n">
        <v>62.2</v>
      </c>
      <c r="I61" s="29" t="n">
        <v>63.7</v>
      </c>
      <c r="J61" s="29" t="n">
        <v>63.7</v>
      </c>
      <c r="K61" s="29" t="n">
        <v>64.90000000000001</v>
      </c>
      <c r="L61" s="29" t="n">
        <v>65.90000000000001</v>
      </c>
      <c r="M61" s="29" t="n">
        <v>67.5</v>
      </c>
      <c r="N61" s="29" t="n">
        <v>66.8</v>
      </c>
      <c r="O61" s="29" t="n">
        <v>65.5</v>
      </c>
      <c r="P61" s="33">
        <f>(O61/B61-1)</f>
        <v/>
      </c>
    </row>
    <row r="62">
      <c r="A62" s="3" t="inlineStr">
        <is>
          <t>Fayette</t>
        </is>
      </c>
      <c r="B62" s="29" t="n">
        <v>67.40000000000001</v>
      </c>
      <c r="C62" s="29" t="n">
        <v>69.59999999999999</v>
      </c>
      <c r="D62" s="29" t="n">
        <v>71.90000000000001</v>
      </c>
      <c r="E62" s="29" t="n">
        <v>74</v>
      </c>
      <c r="F62" s="29" t="n">
        <v>75</v>
      </c>
      <c r="G62" s="29" t="n">
        <v>75</v>
      </c>
      <c r="H62" s="29" t="n">
        <v>81</v>
      </c>
      <c r="I62" s="29" t="n">
        <v>81</v>
      </c>
      <c r="J62" s="29" t="n">
        <v>81</v>
      </c>
      <c r="K62" s="29" t="n">
        <v>80.8</v>
      </c>
      <c r="L62" s="29" t="n">
        <v>83.3</v>
      </c>
      <c r="M62" s="29" t="n">
        <v>81</v>
      </c>
      <c r="N62" s="29" t="n">
        <v>80.90000000000001</v>
      </c>
      <c r="O62" s="29" t="n">
        <v>79.8</v>
      </c>
      <c r="P62" s="33">
        <f>(O62/B62-1)</f>
        <v/>
      </c>
    </row>
    <row r="63">
      <c r="A63" s="3" t="inlineStr">
        <is>
          <t>Paris Ind</t>
        </is>
      </c>
      <c r="B63" s="29" t="n">
        <v>61</v>
      </c>
      <c r="C63" s="29" t="n">
        <v>64.09999999999999</v>
      </c>
      <c r="D63" s="29" t="n">
        <v>66.5</v>
      </c>
      <c r="E63" s="29" t="n">
        <v>69</v>
      </c>
      <c r="F63" s="29" t="n">
        <v>71.59999999999999</v>
      </c>
      <c r="G63" s="29" t="n">
        <v>74.40000000000001</v>
      </c>
      <c r="H63" s="29" t="n">
        <v>78.3</v>
      </c>
      <c r="I63" s="29" t="n">
        <v>80.40000000000001</v>
      </c>
      <c r="J63" s="29" t="n">
        <v>68.7</v>
      </c>
      <c r="K63" s="29" t="n">
        <v>74.5</v>
      </c>
      <c r="L63" s="29" t="n">
        <v>71.5</v>
      </c>
      <c r="M63" s="29" t="n">
        <v>71.5</v>
      </c>
      <c r="N63" s="29" t="n">
        <v>71.5</v>
      </c>
      <c r="O63" s="29" t="n">
        <v>71.5</v>
      </c>
      <c r="P63" s="33">
        <f>(O63/B63-1)</f>
        <v/>
      </c>
    </row>
    <row r="64">
      <c r="A64" s="3" t="inlineStr">
        <is>
          <t>Nicholas</t>
        </is>
      </c>
      <c r="B64" s="29" t="n">
        <v>38.4</v>
      </c>
      <c r="C64" s="29" t="n">
        <v>38.7</v>
      </c>
      <c r="D64" s="29" t="n">
        <v>38.5</v>
      </c>
      <c r="E64" s="29" t="n">
        <v>38.3</v>
      </c>
      <c r="F64" s="29" t="n">
        <v>38.5</v>
      </c>
      <c r="G64" s="29" t="n">
        <v>39.5</v>
      </c>
      <c r="H64" s="29" t="n">
        <v>39.6</v>
      </c>
      <c r="I64" s="29" t="n">
        <v>41</v>
      </c>
      <c r="J64" s="29" t="n">
        <v>40.1</v>
      </c>
      <c r="K64" s="29" t="n">
        <v>40.2</v>
      </c>
      <c r="L64" s="29" t="n">
        <v>41.4</v>
      </c>
      <c r="M64" s="29" t="n">
        <v>42.5</v>
      </c>
      <c r="N64" s="29" t="n">
        <v>43.6</v>
      </c>
      <c r="O64" s="29" t="n">
        <v>43.1</v>
      </c>
      <c r="P64" s="33">
        <f>(O64/B64-1)</f>
        <v/>
      </c>
    </row>
    <row r="65">
      <c r="A65" s="3" t="inlineStr">
        <is>
          <t>Montgomery</t>
        </is>
      </c>
      <c r="B65" s="29" t="n">
        <v>49.4</v>
      </c>
      <c r="C65" s="29" t="n">
        <v>49.4</v>
      </c>
      <c r="D65" s="29" t="n">
        <v>49</v>
      </c>
      <c r="E65" s="29" t="n">
        <v>48.9</v>
      </c>
      <c r="F65" s="29" t="n">
        <v>50.8</v>
      </c>
      <c r="G65" s="29" t="n">
        <v>51.3</v>
      </c>
      <c r="H65" s="29" t="n">
        <v>52.8</v>
      </c>
      <c r="I65" s="29" t="n">
        <v>52.3</v>
      </c>
      <c r="J65" s="29" t="n">
        <v>52.3</v>
      </c>
      <c r="K65" s="29" t="n">
        <v>52.3</v>
      </c>
      <c r="L65" s="29" t="n">
        <v>52.2</v>
      </c>
      <c r="M65" s="29" t="n">
        <v>52.4</v>
      </c>
      <c r="N65" s="29" t="n">
        <v>52.5</v>
      </c>
      <c r="O65" s="29" t="n">
        <v>52.5</v>
      </c>
      <c r="P65" s="33">
        <f>(O65/B65-1)</f>
        <v/>
      </c>
    </row>
    <row r="66">
      <c r="A66" s="3" t="inlineStr">
        <is>
          <t>Bourbon Co</t>
        </is>
      </c>
      <c r="B66" s="29" t="n">
        <v>55.4</v>
      </c>
      <c r="C66" s="29" t="n">
        <v>57.6</v>
      </c>
      <c r="D66" s="29" t="n">
        <v>57.3</v>
      </c>
      <c r="E66" s="29" t="n">
        <v>59.1</v>
      </c>
      <c r="F66" s="29" t="n">
        <v>58.8</v>
      </c>
      <c r="G66" s="29" t="n">
        <v>60</v>
      </c>
      <c r="H66" s="29" t="n">
        <v>61.3</v>
      </c>
      <c r="I66" s="29" t="n">
        <v>60.6</v>
      </c>
      <c r="J66" s="29" t="n">
        <v>55.9</v>
      </c>
      <c r="K66" s="29" t="n">
        <v>54.2</v>
      </c>
      <c r="L66" s="29" t="n">
        <v>49.2</v>
      </c>
      <c r="M66" s="29" t="n">
        <v>52.4</v>
      </c>
      <c r="N66" s="29" t="n">
        <v>52.4</v>
      </c>
      <c r="O66" s="29" t="n">
        <v>52.4</v>
      </c>
      <c r="P66" s="33">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29" t="n">
        <v>41</v>
      </c>
    </row>
    <row r="72">
      <c r="A72" s="3" t="inlineStr">
        <is>
          <t>Yield per cent of General Fund rate, per year</t>
        </is>
      </c>
      <c r="B72" s="9">
        <f>B32/B71</f>
        <v/>
      </c>
      <c r="G72" s="21" t="inlineStr">
        <is>
          <t>FY2025 GF collections divided by the 41.0 GF cents: about $191,000 per cent. Real and personal property only; tangible and motor vehicle rates untouched, so every figure below is conservative</t>
        </is>
      </c>
    </row>
    <row r="73">
      <c r="A73" s="3" t="inlineStr">
        <is>
          <t>Median owner-occupied home value, Bourbon County (Census ACS 2019-2023, table B25077)</t>
        </is>
      </c>
      <c r="B73" s="8" t="n">
        <v>211600</v>
      </c>
    </row>
    <row r="74">
      <c r="A74" s="3" t="inlineStr">
        <is>
          <t>Cost per added cent to that household, per year</t>
        </is>
      </c>
      <c r="B74" s="34">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17" t="inlineStr">
        <is>
          <t>Option</t>
        </is>
      </c>
      <c r="B76" s="17" t="inlineStr">
        <is>
          <t>New rate</t>
        </is>
      </c>
      <c r="C76" s="17" t="inlineStr">
        <is>
          <t>Added cents</t>
        </is>
      </c>
      <c r="D76" s="17" t="inlineStr">
        <is>
          <t>Revenue per year</t>
        </is>
      </c>
      <c r="E76" s="17" t="inlineStr">
        <is>
          <t>Median-home cost/yr</t>
        </is>
      </c>
      <c r="F76" s="17" t="inlineStr">
        <is>
          <t>Direct bond capacity</t>
        </is>
      </c>
    </row>
    <row r="77">
      <c r="A77" s="3" t="inlineStr">
        <is>
          <t>Match Harrison County (2025-26 levied rate)</t>
        </is>
      </c>
      <c r="B77" s="20">
        <f>B24</f>
        <v/>
      </c>
      <c r="C77" s="35">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0">
        <f>MEDIAN(O58,O59,O60,O61,O63,O64,O65,O66)</f>
        <v/>
      </c>
      <c r="C78" s="35">
        <f>B78-B12</f>
        <v/>
      </c>
      <c r="D78" s="9">
        <f>C78*$B$72</f>
        <v/>
      </c>
      <c r="E78" s="9">
        <f>C78*$B$74</f>
        <v/>
      </c>
      <c r="F78" s="9">
        <f>D78*(1-(1+Debt_Service!B40)^-Debt_Service!B41)/Debt_Service!B40</f>
        <v/>
      </c>
    </row>
    <row r="79">
      <c r="A79" s="3" t="inlineStr">
        <is>
          <t>Restore Bourbon's own 2018 rate</t>
        </is>
      </c>
      <c r="B79" s="20">
        <f>B5</f>
        <v/>
      </c>
      <c r="C79" s="35">
        <f>B79-B12</f>
        <v/>
      </c>
      <c r="D79" s="9">
        <f>C79*$B$72</f>
        <v/>
      </c>
      <c r="E79" s="9">
        <f>C79*$B$74</f>
        <v/>
      </c>
      <c r="F79" s="9">
        <f>D79*(1-(1+Debt_Service!B40)^-Debt_Service!B41)/Debt_Service!B40</f>
        <v/>
      </c>
    </row>
    <row r="80">
      <c r="A80" s="3" t="inlineStr">
        <is>
          <t>Match Clark County (2025-26 levied rate)</t>
        </is>
      </c>
      <c r="B80" s="20">
        <f>O61</f>
        <v/>
      </c>
      <c r="C80" s="35">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23">
        <f>B84-B83</f>
        <v/>
      </c>
      <c r="G85" s="21" t="inlineStr">
        <is>
          <t>About $4,551. The rate this board itself levied in 2018 is, almost to the dollar, the make-the-General-Fund-stand-alone rate</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23">
        <f>B86+B87+B88</f>
        <v/>
      </c>
      <c r="G89" s="21" t="inlineStr">
        <is>
          <t>Roughly $35 million, for $15.69 a month on the median home, with nothing closed. The Harrison and median options are honest partial steps, leaving about $680,000 and $190,000 a year to find from the alternatives menu before the sweep can end; the Clark option adds about $10.5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0">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17" t="inlineStr">
        <is>
          <t>Assessment growth</t>
        </is>
      </c>
      <c r="B98" s="17" t="inlineStr">
        <is>
          <t>Compensating rate</t>
        </is>
      </c>
      <c r="C98" s="17" t="inlineStr">
        <is>
          <t>4 percent option</t>
        </is>
      </c>
      <c r="D98" s="17" t="inlineStr">
        <is>
          <t>Rate raised 4 percent</t>
        </is>
      </c>
      <c r="E98" s="17" t="inlineStr">
        <is>
          <t>Revenue at 4 percent option</t>
        </is>
      </c>
      <c r="F98" s="17" t="inlineStr">
        <is>
          <t>Revenue at rate x 1.04</t>
        </is>
      </c>
      <c r="G98" s="17" t="inlineStr">
        <is>
          <t>Above the ceiling, recallable</t>
        </is>
      </c>
    </row>
    <row r="99">
      <c r="A99" s="36" t="n">
        <v>0</v>
      </c>
      <c r="B99" s="30">
        <f>$B$95/(1+A99)</f>
        <v/>
      </c>
      <c r="C99" s="30">
        <f>B99*1.04</f>
        <v/>
      </c>
      <c r="D99" s="30">
        <f>$B$95*1.04</f>
        <v/>
      </c>
      <c r="E99" s="9">
        <f>$B$94*(1+A99)*C99/100/100</f>
        <v/>
      </c>
      <c r="F99" s="9">
        <f>$B$94*(1+A99)*D99/100/100</f>
        <v/>
      </c>
      <c r="G99" s="23">
        <f>F99-E99</f>
        <v/>
      </c>
    </row>
    <row r="100">
      <c r="A100" s="36" t="n">
        <v>0.03</v>
      </c>
      <c r="B100" s="30">
        <f>$B$95/(1+A100)</f>
        <v/>
      </c>
      <c r="C100" s="30">
        <f>B100*1.04</f>
        <v/>
      </c>
      <c r="D100" s="30">
        <f>$B$95*1.04</f>
        <v/>
      </c>
      <c r="E100" s="9">
        <f>$B$94*(1+A100)*C100/100/100</f>
        <v/>
      </c>
      <c r="F100" s="9">
        <f>$B$94*(1+A100)*D100/100/100</f>
        <v/>
      </c>
      <c r="G100" s="23">
        <f>F100-E100</f>
        <v/>
      </c>
    </row>
    <row r="101">
      <c r="A101" s="36" t="n">
        <v>0.05</v>
      </c>
      <c r="B101" s="30">
        <f>$B$95/(1+A101)</f>
        <v/>
      </c>
      <c r="C101" s="30">
        <f>B101*1.04</f>
        <v/>
      </c>
      <c r="D101" s="30">
        <f>$B$95*1.04</f>
        <v/>
      </c>
      <c r="E101" s="9">
        <f>$B$94*(1+A101)*C101/100/100</f>
        <v/>
      </c>
      <c r="F101" s="9">
        <f>$B$94*(1+A101)*D101/100/100</f>
        <v/>
      </c>
      <c r="G101" s="23">
        <f>F101-E101</f>
        <v/>
      </c>
    </row>
    <row r="102">
      <c r="A102" s="36" t="n">
        <v>0.07000000000000001</v>
      </c>
      <c r="B102" s="30">
        <f>$B$95/(1+A102)</f>
        <v/>
      </c>
      <c r="C102" s="30">
        <f>B102*1.04</f>
        <v/>
      </c>
      <c r="D102" s="30">
        <f>$B$95*1.04</f>
        <v/>
      </c>
      <c r="E102" s="9">
        <f>$B$94*(1+A102)*C102/100/100</f>
        <v/>
      </c>
      <c r="F102" s="9">
        <f>$B$94*(1+A102)*D102/100/100</f>
        <v/>
      </c>
      <c r="G102" s="23">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29" t="n">
        <v>49.2</v>
      </c>
    </row>
    <row r="110">
      <c r="A110" s="3" t="inlineStr">
        <is>
          <t>Total levied rate, tax year 2023 (held at 52.4 for three years since)</t>
        </is>
      </c>
      <c r="B110" s="29" t="n">
        <v>52.4</v>
      </c>
    </row>
    <row r="111">
      <c r="A111" s="3" t="inlineStr">
        <is>
          <t>Net change</t>
        </is>
      </c>
      <c r="B111" s="35">
        <f>B110-B109</f>
        <v/>
      </c>
    </row>
    <row r="112">
      <c r="A112" s="3" t="inlineStr">
        <is>
          <t>Recallable facilities nickel levied 8/17/2023 (KDE levied-rates file, current year)</t>
        </is>
      </c>
      <c r="B112" s="29" t="n">
        <v>5.7</v>
      </c>
    </row>
    <row r="113">
      <c r="A113" s="3" t="inlineStr">
        <is>
          <t>Implied change in the rest of the rate</t>
        </is>
      </c>
      <c r="B113" s="37">
        <f>B111-B112</f>
        <v/>
      </c>
    </row>
    <row r="114">
      <c r="A114" s="3" t="inlineStr">
        <is>
          <t>Implied annual change in unrestricted revenue</t>
        </is>
      </c>
      <c r="B114" s="23">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9" t="n">
        <v>56.5</v>
      </c>
      <c r="C15" s="29" t="n">
        <v>63.9</v>
      </c>
      <c r="D15" s="29" t="n">
        <v>68.59999999999999</v>
      </c>
      <c r="E15" s="29" t="n">
        <v>87.90000000000001</v>
      </c>
      <c r="F15" s="29" t="n">
        <v>85.8</v>
      </c>
      <c r="G15" s="29" t="n">
        <v>72.5</v>
      </c>
      <c r="H15" s="29" t="n">
        <v>67.59999999999999</v>
      </c>
      <c r="I15" s="29" t="n">
        <v>56.6</v>
      </c>
      <c r="J15" s="29" t="n">
        <v>56.9</v>
      </c>
      <c r="K15" s="29" t="n">
        <v>48.7</v>
      </c>
      <c r="L15" s="29" t="n">
        <v>49.3</v>
      </c>
      <c r="M15" s="29" t="n">
        <v>40</v>
      </c>
      <c r="N15" s="29" t="n">
        <v>50.4</v>
      </c>
      <c r="P15" s="29" t="n">
        <v>47.7</v>
      </c>
      <c r="Q15" s="29" t="n">
        <v>32.1</v>
      </c>
      <c r="R15" s="29" t="n">
        <v>54.1</v>
      </c>
      <c r="S15" s="29" t="n">
        <v>58.2</v>
      </c>
    </row>
    <row r="16">
      <c r="A16" s="3" t="inlineStr">
        <is>
          <t>Bourbon Central (Bourbon Co.)</t>
        </is>
      </c>
      <c r="B16" s="29" t="n">
        <v>77.5</v>
      </c>
      <c r="C16" s="29" t="n">
        <v>81.90000000000001</v>
      </c>
      <c r="D16" s="29" t="n">
        <v>72.59999999999999</v>
      </c>
      <c r="E16" s="29" t="n">
        <v>69.59999999999999</v>
      </c>
      <c r="F16" s="29" t="n">
        <v>63</v>
      </c>
      <c r="G16" s="29" t="n">
        <v>74.7</v>
      </c>
      <c r="H16" s="29" t="n">
        <v>67.59999999999999</v>
      </c>
      <c r="I16" s="29" t="n">
        <v>51.8</v>
      </c>
      <c r="J16" s="29" t="n">
        <v>52.1</v>
      </c>
      <c r="K16" s="29" t="n">
        <v>30</v>
      </c>
      <c r="L16" s="29" t="n">
        <v>34</v>
      </c>
      <c r="M16" s="29" t="n">
        <v>32.8</v>
      </c>
      <c r="N16" s="29" t="n">
        <v>39.9</v>
      </c>
      <c r="O16" s="29" t="n">
        <v>20</v>
      </c>
      <c r="P16" s="29" t="n">
        <v>29.9</v>
      </c>
      <c r="Q16" s="29" t="n">
        <v>29</v>
      </c>
      <c r="R16" s="29" t="n">
        <v>23.8</v>
      </c>
      <c r="S16" s="29" t="n">
        <v>26.5</v>
      </c>
    </row>
    <row r="17">
      <c r="A17" s="3" t="inlineStr">
        <is>
          <t>Cane Ridge (Bourbon Co.)</t>
        </is>
      </c>
      <c r="B17" s="29" t="n">
        <v>35.2</v>
      </c>
      <c r="C17" s="29" t="n">
        <v>50.9</v>
      </c>
      <c r="D17" s="29" t="n">
        <v>56.2</v>
      </c>
      <c r="E17" s="29" t="n">
        <v>65.5</v>
      </c>
      <c r="F17" s="29" t="n">
        <v>34.5</v>
      </c>
      <c r="G17" s="29" t="n">
        <v>34</v>
      </c>
      <c r="H17" s="29" t="n">
        <v>49.6</v>
      </c>
      <c r="I17" s="29" t="n">
        <v>51</v>
      </c>
      <c r="J17" s="29" t="n">
        <v>51.1</v>
      </c>
      <c r="K17" s="29" t="n">
        <v>57.5</v>
      </c>
      <c r="L17" s="29" t="n">
        <v>50.4</v>
      </c>
      <c r="M17" s="29" t="n">
        <v>41.4</v>
      </c>
      <c r="N17" s="29" t="n">
        <v>38.8</v>
      </c>
      <c r="O17" s="29" t="n">
        <v>23.8</v>
      </c>
      <c r="P17" s="29" t="n">
        <v>38.7</v>
      </c>
      <c r="Q17" s="29" t="n">
        <v>34.6</v>
      </c>
      <c r="R17" s="29" t="n">
        <v>35.8</v>
      </c>
      <c r="S17" s="29" t="n">
        <v>19.3</v>
      </c>
    </row>
    <row r="18">
      <c r="A18" s="3" t="inlineStr">
        <is>
          <t>Paris Elementary (Paris Indep.)</t>
        </is>
      </c>
      <c r="R18" s="29" t="n">
        <v>16.8</v>
      </c>
      <c r="S18" s="29" t="n">
        <v>12.2</v>
      </c>
    </row>
    <row r="19">
      <c r="A19" s="3" t="inlineStr">
        <is>
          <t>Shearer (Clark Co.)</t>
        </is>
      </c>
      <c r="R19" s="29" t="n">
        <v>30.7</v>
      </c>
      <c r="S19" s="29" t="n">
        <v>42.3</v>
      </c>
    </row>
    <row r="20">
      <c r="A20" s="3" t="inlineStr">
        <is>
          <t>Justice (Clark Co.)</t>
        </is>
      </c>
      <c r="R20" s="29" t="n">
        <v>43.2</v>
      </c>
      <c r="S20" s="29" t="n">
        <v>39.3</v>
      </c>
    </row>
    <row r="21">
      <c r="A21" s="3" t="inlineStr">
        <is>
          <t>Strode Station (Clark Co.)</t>
        </is>
      </c>
      <c r="R21" s="29" t="n">
        <v>43.2</v>
      </c>
      <c r="S21" s="29" t="n">
        <v>34.2</v>
      </c>
    </row>
    <row r="22">
      <c r="A22" s="3" t="inlineStr">
        <is>
          <t>Conkwright (Clark Co.)</t>
        </is>
      </c>
      <c r="R22" s="29" t="n">
        <v>15.6</v>
      </c>
      <c r="S22" s="29" t="n">
        <v>17.5</v>
      </c>
    </row>
    <row r="23">
      <c r="A23" s="3" t="inlineStr">
        <is>
          <t>Northview (Montgomery Co.)</t>
        </is>
      </c>
      <c r="R23" s="29" t="n">
        <v>67.40000000000001</v>
      </c>
      <c r="S23" s="29" t="n">
        <v>68.90000000000001</v>
      </c>
    </row>
    <row r="24">
      <c r="A24" s="3" t="inlineStr">
        <is>
          <t>Mapleton (Montgomery Co.)</t>
        </is>
      </c>
      <c r="R24" s="29" t="n">
        <v>65.90000000000001</v>
      </c>
      <c r="S24" s="29" t="n">
        <v>65.09999999999999</v>
      </c>
    </row>
    <row r="25">
      <c r="A25" s="3" t="inlineStr">
        <is>
          <t>Nicholas County Elementary (Nicholas Co.)</t>
        </is>
      </c>
      <c r="R25" s="29"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8"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9" t="n">
        <v>51.9</v>
      </c>
      <c r="C45" s="29" t="n">
        <v>59.7</v>
      </c>
      <c r="D45" s="29" t="n">
        <v>63.2</v>
      </c>
      <c r="E45" s="29" t="n">
        <v>53.2</v>
      </c>
      <c r="F45" s="29" t="n">
        <v>56.1</v>
      </c>
      <c r="G45" s="29" t="n">
        <v>55.6</v>
      </c>
      <c r="H45" s="29" t="n">
        <v>42.3</v>
      </c>
      <c r="I45" s="29" t="n">
        <v>48.4</v>
      </c>
      <c r="J45" s="29" t="n">
        <v>21.4</v>
      </c>
      <c r="K45" s="29" t="n">
        <v>32</v>
      </c>
      <c r="L45" s="29" t="n">
        <v>43</v>
      </c>
      <c r="M45" s="29" t="n">
        <v>45</v>
      </c>
      <c r="N45" s="29" t="n">
        <v>41</v>
      </c>
    </row>
    <row r="46">
      <c r="A46" s="3" t="inlineStr">
        <is>
          <t>Reading: Bourbon Central</t>
        </is>
      </c>
      <c r="B46" s="29" t="n">
        <v>62.1</v>
      </c>
      <c r="C46" s="29" t="n">
        <v>56.6</v>
      </c>
      <c r="D46" s="29" t="n">
        <v>61.2</v>
      </c>
      <c r="E46" s="29" t="n">
        <v>55.7</v>
      </c>
      <c r="F46" s="29" t="n">
        <v>47.9</v>
      </c>
      <c r="G46" s="29" t="n">
        <v>47.9</v>
      </c>
      <c r="H46" s="29" t="n">
        <v>49.3</v>
      </c>
      <c r="I46" s="29" t="n">
        <v>49.1</v>
      </c>
      <c r="J46" s="29" t="n">
        <v>27.1</v>
      </c>
      <c r="K46" s="29" t="n">
        <v>43</v>
      </c>
      <c r="L46" s="29" t="n">
        <v>37</v>
      </c>
      <c r="M46" s="29" t="n">
        <v>36</v>
      </c>
      <c r="N46" s="29" t="n">
        <v>38</v>
      </c>
    </row>
    <row r="47">
      <c r="A47" s="3" t="inlineStr">
        <is>
          <t>Reading: Cane Ridge</t>
        </is>
      </c>
      <c r="B47" s="29" t="n">
        <v>42.9</v>
      </c>
      <c r="C47" s="29" t="n">
        <v>47.2</v>
      </c>
      <c r="D47" s="29" t="n">
        <v>54.5</v>
      </c>
      <c r="E47" s="29" t="n">
        <v>55.3</v>
      </c>
      <c r="F47" s="29" t="n">
        <v>59.3</v>
      </c>
      <c r="G47" s="29" t="n">
        <v>57.1</v>
      </c>
      <c r="H47" s="29" t="n">
        <v>52</v>
      </c>
      <c r="I47" s="29" t="n">
        <v>49.6</v>
      </c>
      <c r="J47" s="29" t="n">
        <v>26.5</v>
      </c>
      <c r="K47" s="29" t="n">
        <v>44</v>
      </c>
      <c r="L47" s="29" t="n">
        <v>40</v>
      </c>
      <c r="M47" s="29" t="n">
        <v>40</v>
      </c>
      <c r="N47" s="29" t="n">
        <v>37</v>
      </c>
    </row>
    <row r="48">
      <c r="A48" s="3" t="inlineStr">
        <is>
          <t>Reading: Paris Elementary</t>
        </is>
      </c>
      <c r="B48" s="29" t="n">
        <v>31</v>
      </c>
      <c r="C48" s="29" t="n">
        <v>34.1</v>
      </c>
      <c r="D48" s="29" t="n">
        <v>42.9</v>
      </c>
      <c r="E48" s="29" t="n">
        <v>38.9</v>
      </c>
      <c r="F48" s="29" t="n">
        <v>41.2</v>
      </c>
      <c r="G48" s="29" t="n">
        <v>34.3</v>
      </c>
      <c r="H48" s="29" t="n">
        <v>34.4</v>
      </c>
      <c r="I48" s="29" t="n">
        <v>35.3</v>
      </c>
      <c r="J48" s="29" t="n">
        <v>25</v>
      </c>
      <c r="K48" s="29" t="n">
        <v>28</v>
      </c>
      <c r="L48" s="29" t="n">
        <v>25</v>
      </c>
      <c r="M48" s="29" t="n">
        <v>30</v>
      </c>
      <c r="N48" s="29" t="n">
        <v>25</v>
      </c>
    </row>
    <row r="49">
      <c r="A49" s="3" t="inlineStr">
        <is>
          <t>Mathematics: North Middletown</t>
        </is>
      </c>
      <c r="B49" s="29" t="n">
        <v>53.2</v>
      </c>
      <c r="C49" s="29" t="n">
        <v>49.4</v>
      </c>
      <c r="D49" s="29" t="n">
        <v>55.3</v>
      </c>
      <c r="E49" s="29" t="n">
        <v>59.5</v>
      </c>
      <c r="F49" s="29" t="n">
        <v>62.1</v>
      </c>
      <c r="G49" s="29" t="n">
        <v>50.8</v>
      </c>
      <c r="H49" s="29" t="n">
        <v>47.9</v>
      </c>
      <c r="I49" s="29" t="n">
        <v>48.4</v>
      </c>
      <c r="J49" s="29" t="n">
        <v>17.9</v>
      </c>
      <c r="K49" s="29" t="n">
        <v>31</v>
      </c>
      <c r="L49" s="29" t="n">
        <v>30</v>
      </c>
      <c r="M49" s="29" t="n">
        <v>45</v>
      </c>
      <c r="N49" s="29" t="n">
        <v>31</v>
      </c>
    </row>
    <row r="50">
      <c r="A50" s="3" t="inlineStr">
        <is>
          <t>Mathematics: Bourbon Central</t>
        </is>
      </c>
      <c r="B50" s="29" t="n">
        <v>47.1</v>
      </c>
      <c r="C50" s="29" t="n">
        <v>47.4</v>
      </c>
      <c r="D50" s="29" t="n">
        <v>43</v>
      </c>
      <c r="E50" s="29" t="n">
        <v>43.6</v>
      </c>
      <c r="F50" s="29" t="n">
        <v>40</v>
      </c>
      <c r="G50" s="29" t="n">
        <v>43.5</v>
      </c>
      <c r="H50" s="29" t="n">
        <v>41.8</v>
      </c>
      <c r="I50" s="29" t="n">
        <v>45.1</v>
      </c>
      <c r="J50" s="29" t="n">
        <v>31.7</v>
      </c>
      <c r="K50" s="29" t="n">
        <v>27</v>
      </c>
      <c r="L50" s="29" t="n">
        <v>28</v>
      </c>
      <c r="M50" s="29" t="n">
        <v>23</v>
      </c>
      <c r="N50" s="29" t="n">
        <v>28</v>
      </c>
    </row>
    <row r="51">
      <c r="A51" s="3" t="inlineStr">
        <is>
          <t>Mathematics: Cane Ridge</t>
        </is>
      </c>
      <c r="B51" s="29" t="n">
        <v>33.3</v>
      </c>
      <c r="C51" s="29" t="n">
        <v>37.7</v>
      </c>
      <c r="D51" s="29" t="n">
        <v>43.1</v>
      </c>
      <c r="E51" s="29" t="n">
        <v>46.1</v>
      </c>
      <c r="F51" s="29" t="n">
        <v>54.4</v>
      </c>
      <c r="G51" s="29" t="n">
        <v>45.9</v>
      </c>
      <c r="H51" s="29" t="n">
        <v>41.5</v>
      </c>
      <c r="I51" s="29" t="n">
        <v>39</v>
      </c>
      <c r="J51" s="29" t="n">
        <v>25.2</v>
      </c>
      <c r="K51" s="29" t="n">
        <v>33</v>
      </c>
      <c r="L51" s="29" t="n">
        <v>35</v>
      </c>
      <c r="M51" s="29" t="n">
        <v>30</v>
      </c>
      <c r="N51" s="29" t="n">
        <v>27</v>
      </c>
    </row>
    <row r="52">
      <c r="A52" s="3" t="inlineStr">
        <is>
          <t>Mathematics: Paris Elementary</t>
        </is>
      </c>
      <c r="B52" s="29" t="n">
        <v>29.7</v>
      </c>
      <c r="C52" s="29" t="n">
        <v>25</v>
      </c>
      <c r="D52" s="29" t="n">
        <v>26.8</v>
      </c>
      <c r="E52" s="29" t="n">
        <v>22.9</v>
      </c>
      <c r="F52" s="29" t="n">
        <v>41.9</v>
      </c>
      <c r="G52" s="29" t="n">
        <v>28.7</v>
      </c>
      <c r="H52" s="29" t="n">
        <v>30</v>
      </c>
      <c r="I52" s="29" t="n">
        <v>32</v>
      </c>
      <c r="J52" s="29" t="n">
        <v>15.3</v>
      </c>
      <c r="K52" s="29" t="n">
        <v>23</v>
      </c>
      <c r="L52" s="29" t="n">
        <v>32</v>
      </c>
      <c r="M52" s="29" t="n">
        <v>27</v>
      </c>
      <c r="N52" s="29"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9" t="n">
        <v>62.6</v>
      </c>
      <c r="C56" s="29" t="n">
        <v>68.8</v>
      </c>
      <c r="D56" s="29" t="n">
        <v>71.40000000000001</v>
      </c>
      <c r="E56" s="29" t="n">
        <v>72.09999999999999</v>
      </c>
      <c r="F56" s="29" t="n">
        <v>79.09999999999999</v>
      </c>
      <c r="K56" s="29" t="n">
        <v>51.9</v>
      </c>
      <c r="L56" s="29" t="n">
        <v>62.2</v>
      </c>
      <c r="M56" s="29" t="n">
        <v>74.5</v>
      </c>
      <c r="N56" s="29" t="n">
        <v>54</v>
      </c>
    </row>
    <row r="57">
      <c r="A57" s="3" t="inlineStr">
        <is>
          <t>Bourbon Central</t>
        </is>
      </c>
      <c r="B57" s="29" t="n">
        <v>63.2</v>
      </c>
      <c r="C57" s="29" t="n">
        <v>63</v>
      </c>
      <c r="D57" s="29" t="n">
        <v>69.8</v>
      </c>
      <c r="E57" s="29" t="n">
        <v>67.8</v>
      </c>
      <c r="F57" s="29" t="n">
        <v>56.8</v>
      </c>
      <c r="K57" s="29" t="n">
        <v>52.8</v>
      </c>
      <c r="L57" s="29" t="n">
        <v>56.7</v>
      </c>
      <c r="M57" s="29" t="n">
        <v>50.3</v>
      </c>
      <c r="N57" s="29" t="n">
        <v>55.4</v>
      </c>
    </row>
    <row r="58">
      <c r="A58" s="3" t="inlineStr">
        <is>
          <t>Cane Ridge</t>
        </is>
      </c>
      <c r="B58" s="29" t="n">
        <v>53.3</v>
      </c>
      <c r="C58" s="29" t="n">
        <v>58.9</v>
      </c>
      <c r="D58" s="29" t="n">
        <v>69.2</v>
      </c>
      <c r="E58" s="29" t="n">
        <v>68.5</v>
      </c>
      <c r="F58" s="29" t="n">
        <v>65.5</v>
      </c>
      <c r="K58" s="29" t="n">
        <v>54.3</v>
      </c>
      <c r="L58" s="29" t="n">
        <v>51.8</v>
      </c>
      <c r="M58" s="29" t="n">
        <v>60.7</v>
      </c>
      <c r="N58" s="29" t="n">
        <v>47.8</v>
      </c>
    </row>
    <row r="59">
      <c r="A59" s="3" t="inlineStr">
        <is>
          <t>Paris Elementary</t>
        </is>
      </c>
      <c r="B59" s="29" t="n">
        <v>48</v>
      </c>
      <c r="C59" s="29" t="n">
        <v>49.9</v>
      </c>
      <c r="D59" s="29" t="n">
        <v>59.4</v>
      </c>
      <c r="E59" s="29" t="n">
        <v>54.8</v>
      </c>
      <c r="F59" s="29" t="n">
        <v>69.59999999999999</v>
      </c>
      <c r="K59" s="29" t="n">
        <v>46.1</v>
      </c>
      <c r="L59" s="29" t="n">
        <v>45.9</v>
      </c>
      <c r="M59" s="29" t="n">
        <v>40.7</v>
      </c>
      <c r="N59" s="29"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6">
        <f>B13-B14</f>
        <v/>
      </c>
    </row>
    <row r="16">
      <c r="A16" s="3" t="inlineStr">
        <is>
          <t>NMES students needing seats on closure</t>
        </is>
      </c>
      <c r="B16" s="25">
        <f>Assumptions!B11</f>
        <v/>
      </c>
    </row>
    <row r="17">
      <c r="A17" s="3" t="inlineStr">
        <is>
          <t>Shortfall if closure proceeds today</t>
        </is>
      </c>
      <c r="B17" s="26">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26">
        <f>D30+D31</f>
        <v/>
      </c>
    </row>
    <row r="34">
      <c r="A34" s="3" t="inlineStr">
        <is>
          <t>NMES fill rate even at the draft's own 154 rating</t>
        </is>
      </c>
      <c r="B34" s="39">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26">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40" t="n">
        <v>0.887637</v>
      </c>
      <c r="C67" s="40" t="n">
        <v>0.819273</v>
      </c>
      <c r="D67" s="40" t="n">
        <v>0.823017</v>
      </c>
      <c r="E67" s="8" t="n">
        <v>4006243.38</v>
      </c>
      <c r="F67" s="8" t="n">
        <v>22636266.8</v>
      </c>
    </row>
    <row r="68">
      <c r="A68" s="3" t="inlineStr">
        <is>
          <t>Cane Ridge Elementary (1992)</t>
        </is>
      </c>
      <c r="B68" s="40" t="n">
        <v>0.8120579999999999</v>
      </c>
      <c r="C68" s="40" t="n">
        <v>0.811765</v>
      </c>
      <c r="D68" s="40" t="n">
        <v>0.728249</v>
      </c>
      <c r="E68" s="8" t="n">
        <v>4796308</v>
      </c>
      <c r="F68" s="8" t="n">
        <v>17649638.79</v>
      </c>
    </row>
    <row r="69">
      <c r="A69" s="3" t="inlineStr">
        <is>
          <t>North Middletown Elementary (1948/64)</t>
        </is>
      </c>
      <c r="B69" s="40" t="n">
        <v>0.694064</v>
      </c>
      <c r="C69" s="40" t="n">
        <v>0.702133</v>
      </c>
      <c r="D69" s="40" t="n">
        <v>0.773295</v>
      </c>
      <c r="E69" s="8" t="n">
        <v>3099147.93</v>
      </c>
      <c r="F69" s="8" t="n">
        <v>13670417.6</v>
      </c>
    </row>
    <row r="70">
      <c r="A70" s="3" t="inlineStr">
        <is>
          <t>Bourbon County Middle School (1948)</t>
        </is>
      </c>
      <c r="B70" s="40" t="n">
        <v>0.726249</v>
      </c>
      <c r="C70" s="40" t="n">
        <v>0.727501</v>
      </c>
      <c r="D70" s="40" t="n">
        <v>0.596145</v>
      </c>
      <c r="E70" s="8" t="n">
        <v>12167086.72</v>
      </c>
      <c r="F70" s="8" t="n">
        <v>30127350</v>
      </c>
    </row>
    <row r="71">
      <c r="A71" s="3" t="inlineStr">
        <is>
          <t>Bourbon County High School (1968)</t>
        </is>
      </c>
      <c r="B71" s="40" t="n">
        <v>0.809819</v>
      </c>
      <c r="C71" s="40" t="n">
        <v>0.802057</v>
      </c>
      <c r="D71" s="40" t="n">
        <v>0.792529</v>
      </c>
      <c r="E71" s="8" t="n">
        <v>10251532.33</v>
      </c>
      <c r="F71" s="8" t="n">
        <v>49411909.14</v>
      </c>
    </row>
    <row r="72">
      <c r="A72" s="3" t="inlineStr">
        <is>
          <t>Check: Condition Index = 1 - (4-year renewal needs / replacement value), NMES</t>
        </is>
      </c>
      <c r="B72" s="41">
        <f>1-E69/F69</f>
        <v/>
      </c>
    </row>
    <row r="73">
      <c r="A73" s="3" t="inlineStr">
        <is>
          <t>NMES change between inspection cycles (2020-21 to April 2026)</t>
        </is>
      </c>
      <c r="B73" s="41">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9">
        <f>84/163</f>
        <v/>
      </c>
    </row>
    <row r="11">
      <c r="A11" s="3" t="inlineStr">
        <is>
          <t>Closures most like this plan (single small elementary, nothing built): count / median saving</t>
        </is>
      </c>
      <c r="B11" s="10" t="n">
        <v>37</v>
      </c>
      <c r="C11" s="10" t="n">
        <v>0</v>
      </c>
    </row>
    <row r="13">
      <c r="A13" s="4" t="inlineStr">
        <is>
          <t>THE DOLLAR TEST: BUDGET GAP VS STATE TREND, CREDITED ENTIRELY TO THE CLOSURE (A GENEROUS CEILING), PER DISPLACED STUDENT</t>
        </is>
      </c>
    </row>
    <row r="14">
      <c r="A14" s="17" t="inlineStr">
        <is>
          <t>Case</t>
        </is>
      </c>
      <c r="B14" s="17" t="inlineStr">
        <is>
          <t>Closed</t>
        </is>
      </c>
      <c r="C14" s="17" t="inlineStr">
        <is>
          <t>Students displaced</t>
        </is>
      </c>
      <c r="D14" s="17" t="inlineStr">
        <is>
          <t>Spending, year before</t>
        </is>
      </c>
      <c r="E14" s="17" t="inlineStr">
        <is>
          <t>Spending, 3 yrs after</t>
        </is>
      </c>
      <c r="F14" s="17" t="inlineStr">
        <is>
          <t>State growth</t>
        </is>
      </c>
      <c r="G14" s="17" t="inlineStr">
        <is>
          <t>Counterfactual</t>
        </is>
      </c>
      <c r="H14" s="17" t="inlineStr">
        <is>
          <t>Gap per year</t>
        </is>
      </c>
      <c r="I14" s="17" t="inlineStr">
        <is>
          <t>Gap per student</t>
        </is>
      </c>
      <c r="J14" s="17" t="inlineStr">
        <is>
          <t>Note</t>
        </is>
      </c>
    </row>
    <row r="15">
      <c r="A15" s="3" t="inlineStr">
        <is>
          <t>Perry County</t>
        </is>
      </c>
      <c r="B15" s="10" t="n">
        <v>2017</v>
      </c>
      <c r="C15" s="10" t="n">
        <v>825</v>
      </c>
      <c r="D15" s="8" t="n">
        <v>42356000</v>
      </c>
      <c r="E15" s="8" t="n">
        <v>44953000</v>
      </c>
      <c r="F15" s="13" t="n">
        <v>0.1323</v>
      </c>
      <c r="G15" s="9">
        <f>D15*(1+F15)</f>
        <v/>
      </c>
      <c r="H15" s="9">
        <f>G15-E15</f>
        <v/>
      </c>
      <c r="I15" s="23">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23">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23">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23">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23">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23">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23">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23">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23">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23">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23">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23">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23">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23">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23">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23">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23">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23">
        <f>800000/Assumptions!B11</f>
        <v/>
      </c>
      <c r="C34" s="23">
        <f>1000000/Assumptions!B11</f>
        <v/>
      </c>
    </row>
    <row r="35">
      <c r="A35" s="3" t="inlineStr">
        <is>
          <t>This report's own model, per displaced student: median / central / best case</t>
        </is>
      </c>
      <c r="B35" s="9">
        <f>21571/Assumptions!B11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6" t="n">
        <v>0.4</v>
      </c>
      <c r="C41" s="36"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23">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29" t="n">
        <v>-2</v>
      </c>
      <c r="C49" s="29"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6"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17" t="inlineStr">
        <is>
          <t>Year</t>
        </is>
      </c>
      <c r="B5" s="17" t="inlineStr">
        <is>
          <t>Members</t>
        </is>
      </c>
      <c r="C5" s="17" t="inlineStr">
        <is>
          <t>Local</t>
        </is>
      </c>
      <c r="D5" s="17" t="inlineStr">
        <is>
          <t>State</t>
        </is>
      </c>
      <c r="E5" s="17" t="inlineStr">
        <is>
          <t>Federal</t>
        </is>
      </c>
      <c r="F5" s="17"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23">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42">
        <f>B15/B17</f>
        <v/>
      </c>
      <c r="G18" s="21" t="inlineStr">
        <is>
          <t>298 students. Per SEEK AADA (2,490) instead of members: 303. The 300 sits between the two bases.</t>
        </is>
      </c>
    </row>
    <row r="19">
      <c r="A19" s="3" t="inlineStr">
        <is>
          <t>Same fraction with matching definitions: all-in cost / total revenue per member (2023-24)</t>
        </is>
      </c>
      <c r="B19" s="20">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17" t="inlineStr">
        <is>
          <t>School</t>
        </is>
      </c>
      <c r="B22" s="17" t="inlineStr">
        <is>
          <t>Cost/pupil</t>
        </is>
      </c>
      <c r="C22" s="17" t="inlineStr">
        <is>
          <t>Enrolled</t>
        </is>
      </c>
      <c r="D22" s="17" t="inlineStr">
        <is>
          <t>Breakeven N</t>
        </is>
      </c>
      <c r="E22" s="17" t="inlineStr">
        <is>
          <t>Short by</t>
        </is>
      </c>
    </row>
    <row r="23">
      <c r="A23" s="3" t="inlineStr">
        <is>
          <t>North Middletown</t>
        </is>
      </c>
      <c r="B23" s="8" t="n">
        <v>19348</v>
      </c>
      <c r="C23" s="10" t="n">
        <v>128</v>
      </c>
      <c r="D23" s="27">
        <f>B23*C23/F$10</f>
        <v/>
      </c>
      <c r="E23" s="27">
        <f>D23-C23</f>
        <v/>
      </c>
    </row>
    <row r="24">
      <c r="A24" s="3" t="inlineStr">
        <is>
          <t>Bourbon Central</t>
        </is>
      </c>
      <c r="B24" s="8" t="n">
        <v>18131</v>
      </c>
      <c r="C24" s="10" t="n">
        <v>459</v>
      </c>
      <c r="D24" s="27">
        <f>B24*C24/F$10</f>
        <v/>
      </c>
      <c r="E24" s="27">
        <f>D24-C24</f>
        <v/>
      </c>
    </row>
    <row r="25">
      <c r="A25" s="3" t="inlineStr">
        <is>
          <t>Cane Ridge</t>
        </is>
      </c>
      <c r="B25" s="8" t="n">
        <v>18670</v>
      </c>
      <c r="C25" s="10" t="n">
        <v>453</v>
      </c>
      <c r="D25" s="27">
        <f>B25*C25/F$10</f>
        <v/>
      </c>
      <c r="E25" s="27">
        <f>D25-C25</f>
        <v/>
      </c>
    </row>
    <row r="26">
      <c r="A26" s="3" t="inlineStr">
        <is>
          <t>Bourbon Co Middle</t>
        </is>
      </c>
      <c r="B26" s="8" t="n">
        <v>16673</v>
      </c>
      <c r="C26" s="10" t="n">
        <v>590</v>
      </c>
      <c r="D26" s="27">
        <f>B26*C26/F$10</f>
        <v/>
      </c>
      <c r="E26" s="27">
        <f>D26-C26</f>
        <v/>
      </c>
    </row>
    <row r="27">
      <c r="A27" s="3" t="inlineStr">
        <is>
          <t>Bourbon Co High</t>
        </is>
      </c>
      <c r="B27" s="8" t="n">
        <v>17404</v>
      </c>
      <c r="C27" s="10" t="n">
        <v>766</v>
      </c>
      <c r="D27" s="27">
        <f>B27*C27/F$10</f>
        <v/>
      </c>
      <c r="E27" s="27">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17" t="inlineStr">
        <is>
          <t>School</t>
        </is>
      </c>
      <c r="B31" s="17" t="inlineStr">
        <is>
          <t>Fixed base</t>
        </is>
      </c>
      <c r="C31" s="17" t="inlineStr">
        <is>
          <t>N (SEEK only)</t>
        </is>
      </c>
      <c r="D31" s="17" t="inlineStr">
        <is>
          <t>N if fed counted</t>
        </is>
      </c>
      <c r="E31" s="17" t="inlineStr">
        <is>
          <t>Enrolled</t>
        </is>
      </c>
    </row>
    <row r="32">
      <c r="A32" s="3" t="inlineStr">
        <is>
          <t>North Middletown</t>
        </is>
      </c>
      <c r="B32" s="18">
        <f>Assumptions!B51+Assumptions!B52</f>
        <v/>
      </c>
      <c r="C32" s="27">
        <f>B32/(Assumptions!B6-Assumptions!B62)</f>
        <v/>
      </c>
      <c r="D32" s="27">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27">
        <f>B33/(Assumptions!B6-Assumptions!B62)</f>
        <v/>
      </c>
      <c r="D33" s="27">
        <f>B33/(Assumptions!B6+3380-Assumptions!B62)</f>
        <v/>
      </c>
      <c r="E33" s="10" t="n">
        <v>453</v>
      </c>
    </row>
    <row r="34">
      <c r="A34" s="3" t="inlineStr">
        <is>
          <t>Bourbon Central</t>
        </is>
      </c>
      <c r="B34" s="9">
        <f>Assumptions!B51+Assumptions!B52*Facility_Plans!F67/Facility_Plans!F69</f>
        <v/>
      </c>
      <c r="C34" s="27">
        <f>B34/(Assumptions!B6-Assumptions!B62)</f>
        <v/>
      </c>
      <c r="D34" s="27">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17" t="inlineStr">
        <is>
          <t>Year</t>
        </is>
      </c>
      <c r="B38" s="17" t="inlineStr">
        <is>
          <t>NMES</t>
        </is>
      </c>
      <c r="C38" s="17" t="inlineStr">
        <is>
          <t>NMES members</t>
        </is>
      </c>
      <c r="D38" s="17" t="inlineStr">
        <is>
          <t>BCES</t>
        </is>
      </c>
      <c r="E38" s="17" t="inlineStr">
        <is>
          <t>Cane Ridge</t>
        </is>
      </c>
      <c r="F38" s="17" t="inlineStr">
        <is>
          <t>NMES vs BCES</t>
        </is>
      </c>
    </row>
    <row r="39">
      <c r="A39" s="3" t="inlineStr">
        <is>
          <t>2011-12</t>
        </is>
      </c>
      <c r="B39" s="8" t="n">
        <v>9715</v>
      </c>
      <c r="C39" s="10" t="n">
        <v>177</v>
      </c>
      <c r="D39" s="8" t="n">
        <v>7351</v>
      </c>
      <c r="E39" s="8" t="n">
        <v>7740</v>
      </c>
      <c r="F39" s="43">
        <f>B39/D39-1</f>
        <v/>
      </c>
    </row>
    <row r="40">
      <c r="A40" s="3" t="inlineStr">
        <is>
          <t>2012-13</t>
        </is>
      </c>
      <c r="B40" s="8" t="n">
        <v>19635</v>
      </c>
      <c r="C40" s="10" t="n">
        <v>158</v>
      </c>
      <c r="D40" s="8" t="n">
        <v>10281</v>
      </c>
      <c r="E40" s="8" t="n">
        <v>11383</v>
      </c>
      <c r="F40" s="43">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3">
        <f>B41/D41-1</f>
        <v/>
      </c>
    </row>
    <row r="42">
      <c r="A42" s="3" t="inlineStr">
        <is>
          <t>2014-15</t>
        </is>
      </c>
      <c r="B42" s="8" t="n">
        <v>10999</v>
      </c>
      <c r="C42" s="10" t="n">
        <v>153</v>
      </c>
      <c r="D42" s="8" t="n">
        <v>8651</v>
      </c>
      <c r="E42" s="8" t="n">
        <v>9222</v>
      </c>
      <c r="F42" s="43">
        <f>B42/D42-1</f>
        <v/>
      </c>
    </row>
    <row r="43">
      <c r="A43" s="3" t="inlineStr">
        <is>
          <t>2015-16</t>
        </is>
      </c>
      <c r="B43" s="8" t="n">
        <v>11521</v>
      </c>
      <c r="C43" s="10" t="n">
        <v>149</v>
      </c>
      <c r="D43" s="8" t="n">
        <v>8705</v>
      </c>
      <c r="E43" s="8" t="n">
        <v>9655</v>
      </c>
      <c r="F43" s="43">
        <f>B43/D43-1</f>
        <v/>
      </c>
    </row>
    <row r="44">
      <c r="A44" s="3" t="inlineStr">
        <is>
          <t>2016-17</t>
        </is>
      </c>
      <c r="B44" s="8" t="n">
        <v>13260</v>
      </c>
      <c r="C44" s="10" t="n">
        <v>133</v>
      </c>
      <c r="D44" s="8" t="n">
        <v>9197</v>
      </c>
      <c r="E44" s="8" t="n">
        <v>9815</v>
      </c>
      <c r="F44" s="43">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17" t="inlineStr">
        <is>
          <t>School</t>
        </is>
      </c>
      <c r="B48" s="17" t="inlineStr">
        <is>
          <t>Students</t>
        </is>
      </c>
      <c r="C48" s="17" t="inlineStr">
        <is>
          <t>Reported $/student</t>
        </is>
      </c>
      <c r="D48" s="17" t="inlineStr">
        <is>
          <t>Curve prediction</t>
        </is>
      </c>
    </row>
    <row r="49">
      <c r="A49" s="3" t="inlineStr">
        <is>
          <t>Bourbon Central</t>
        </is>
      </c>
      <c r="B49" s="10" t="n">
        <v>595</v>
      </c>
      <c r="C49" s="8" t="n">
        <v>3360</v>
      </c>
      <c r="D49" s="9">
        <f>B$55+B$54*E49</f>
        <v/>
      </c>
      <c r="E49" s="44">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4">
        <f>1/B50</f>
        <v/>
      </c>
    </row>
    <row r="51">
      <c r="A51" s="3" t="inlineStr">
        <is>
          <t>North Middletown</t>
        </is>
      </c>
      <c r="B51" s="10" t="n">
        <v>193</v>
      </c>
      <c r="C51" s="8" t="n">
        <v>4414</v>
      </c>
      <c r="D51" s="9">
        <f>B$55+B$54*E51</f>
        <v/>
      </c>
      <c r="E51" s="44">
        <f>1/B51</f>
        <v/>
      </c>
    </row>
    <row r="52">
      <c r="A52" s="3" t="inlineStr">
        <is>
          <t>Millersburg</t>
        </is>
      </c>
      <c r="B52" s="10" t="n">
        <v>145</v>
      </c>
      <c r="C52" s="8" t="n">
        <v>5200</v>
      </c>
      <c r="D52" s="9">
        <f>B$55+B$54*E52</f>
        <v/>
      </c>
      <c r="E52" s="44">
        <f>1/B52</f>
        <v/>
      </c>
    </row>
    <row r="54">
      <c r="A54" s="3" t="inlineStr">
        <is>
          <t>Fixed base per building (least-squares slope on 1/N)</t>
        </is>
      </c>
      <c r="B54" s="23">
        <f>SLOPE(C49:C52,E49:E52)</f>
        <v/>
      </c>
    </row>
    <row r="55">
      <c r="A55" s="3" t="inlineStr">
        <is>
          <t>Variable cost per student (intercept)</t>
        </is>
      </c>
      <c r="B55" s="23">
        <f>INTERCEPT(C49:C52,E49:E52)</f>
        <v/>
      </c>
    </row>
    <row r="56">
      <c r="A56" s="3" t="inlineStr">
        <is>
          <t>Fit quality (R-squared)</t>
        </is>
      </c>
      <c r="B56" s="45">
        <f>RSQ(C49:C52,E49:E52)</f>
        <v/>
      </c>
    </row>
    <row r="58">
      <c r="A58" s="4" t="inlineStr">
        <is>
          <t>THE MILLERSBURG SYMMETRY: THE DISTRICT HAS RUN THIS EXPERIMENT</t>
        </is>
      </c>
    </row>
    <row r="59">
      <c r="A59" s="3" t="inlineStr">
        <is>
          <t>Millersburg premium over its receiving school, 2000-01 (per student x students)</t>
        </is>
      </c>
      <c r="B59" s="23">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23">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2026-07-31T21:42:59Z</dcterms:created>
  <dcterms:modified xmlns:dcterms="http://purl.org/dc/terms/" xmlns:xsi="http://www.w3.org/2001/XMLSchema-instance" xsi:type="dcterms:W3CDTF">2026-07-31T21:43:00Z</dcterms:modified>
</cp:coreProperties>
</file>