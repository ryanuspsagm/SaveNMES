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GF_Summary" sheetId="3" state="visible" r:id="rId3"/>
    <sheet xmlns:r="http://schemas.openxmlformats.org/officeDocument/2006/relationships" name="Closure_Model" sheetId="4" state="visible" r:id="rId4"/>
    <sheet xmlns:r="http://schemas.openxmlformats.org/officeDocument/2006/relationships" name="Growth_Model" sheetId="5" state="visible" r:id="rId5"/>
    <sheet xmlns:r="http://schemas.openxmlformats.org/officeDocument/2006/relationships" name="Redistricting" sheetId="6" state="visible" r:id="rId6"/>
    <sheet xmlns:r="http://schemas.openxmlformats.org/officeDocument/2006/relationships" name="Transport_Geo" sheetId="7" state="visible" r:id="rId7"/>
    <sheet xmlns:r="http://schemas.openxmlformats.org/officeDocument/2006/relationships" name="Alternatives" sheetId="8" state="visible" r:id="rId8"/>
    <sheet xmlns:r="http://schemas.openxmlformats.org/officeDocument/2006/relationships" name="Debt_Service" sheetId="9" state="visible" r:id="rId9"/>
    <sheet xmlns:r="http://schemas.openxmlformats.org/officeDocument/2006/relationships" name="Runway" sheetId="10" state="visible" r:id="rId10"/>
    <sheet xmlns:r="http://schemas.openxmlformats.org/officeDocument/2006/relationships" name="Scenarios" sheetId="11" state="visible" r:id="rId11"/>
    <sheet xmlns:r="http://schemas.openxmlformats.org/officeDocument/2006/relationships" name="Tax_History" sheetId="12" state="visible" r:id="rId12"/>
    <sheet xmlns:r="http://schemas.openxmlformats.org/officeDocument/2006/relationships" name="Demographics" sheetId="13" state="visible" r:id="rId13"/>
    <sheet xmlns:r="http://schemas.openxmlformats.org/officeDocument/2006/relationships" name="School_Data" sheetId="14" state="visible" r:id="rId14"/>
    <sheet xmlns:r="http://schemas.openxmlformats.org/officeDocument/2006/relationships" name="Facility_Plans" sheetId="15" state="visible" r:id="rId15"/>
    <sheet xmlns:r="http://schemas.openxmlformats.org/officeDocument/2006/relationships" name="KY_Closures" sheetId="16" state="visible" r:id="rId16"/>
    <sheet xmlns:r="http://schemas.openxmlformats.org/officeDocument/2006/relationships" name="School_Costs" sheetId="17" state="visible" r:id="rId17"/>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
    <numFmt numFmtId="168" formatCode="0.0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65" fontId="8"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8"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8" fillId="0" borderId="0" pivotButton="0" quotePrefix="0" xfId="0"/>
    <xf numFmtId="167" fontId="7" fillId="3" borderId="0" pivotButton="0" quotePrefix="0" xfId="0"/>
    <xf numFmtId="166" fontId="8" fillId="0" borderId="0" pivotButton="0" quotePrefix="0" xfId="0"/>
    <xf numFmtId="168" fontId="5" fillId="0" borderId="0" pivotButton="0" quotePrefix="0" xfId="0"/>
    <xf numFmtId="168" fontId="8" fillId="0" borderId="0" pivotButton="0" quotePrefix="0" xfId="0"/>
    <xf numFmtId="167" fontId="8" fillId="0" borderId="0" pivotButton="0" quotePrefix="0" xfId="0"/>
    <xf numFmtId="172" fontId="3" fillId="0" borderId="0" pivotButton="0" quotePrefix="0" xfId="0"/>
    <xf numFmtId="173" fontId="3" fillId="0" borderId="0" pivotButton="0" quotePrefix="0" xfId="0"/>
    <xf numFmtId="168"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14).</t>
        </is>
      </c>
    </row>
    <row r="21">
      <c r="A21" s="2" t="inlineStr">
        <is>
          <t xml:space="preserve">  Tax rates, fund split, delinquency check, and the 4% three-year path: Tax_History tab (backs Figure 18).</t>
        </is>
      </c>
    </row>
    <row r="22">
      <c r="A22" s="2" t="inlineStr">
        <is>
          <t xml:space="preserve">  Boundary rebalancing and fill-to-capacity scenario: Redistricting tab (backs the Section 9 worked example and Figure 15).</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and Bourbon County Colonel working alongside Claude, an AI research assistant from Anthropic. Built from public records and</t>
        </is>
      </c>
    </row>
    <row r="28">
      <c r="A28" s="3" t="inlineStr">
        <is>
          <t>Open Records Requests only. Estimates are labeled; every figure should be re-verified against the cited primary sources before</t>
        </is>
      </c>
    </row>
    <row r="29">
      <c r="A29"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through the prior release.</t>
        </is>
      </c>
    </row>
    <row r="52">
      <c r="A52" s="3" t="inlineStr">
        <is>
          <t>Plant operations avoided (custodial + building costs)</t>
        </is>
      </c>
      <c r="B52" s="14" t="n">
        <v>128867</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 GF-borne cost)</t>
        </is>
      </c>
      <c r="B12" s="18">
        <f>Assumptions!B53*Assumptions!B69</f>
        <v/>
      </c>
      <c r="C12" s="21" t="inlineStr">
        <is>
          <t>v3: GF-borne $60K per position (state pays TRS/KEHP on-behalf); prior versions used the $85K all-in figure here</t>
        </is>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18">
        <f>Assumptions!B41</f>
        <v/>
      </c>
      <c r="C34" s="21" t="inlineStr">
        <is>
          <t>Correct for KDE per-pupil comparisons; the district books $6.94M of on-behalf in FY2026</t>
        </is>
      </c>
    </row>
    <row r="35">
      <c r="A35" s="3" t="inlineStr">
        <is>
          <t>GF-borne cost per position (salary + ~5%)</t>
        </is>
      </c>
      <c r="B35" s="18">
        <f>Assumptions!B69</f>
        <v/>
      </c>
      <c r="C35" s="21" t="inlineStr">
        <is>
          <t>Published schedule: Rank III $41,718 (yr 0) to Rank I $71,447 (yr 29-30). The state pays TRS and KEHP on behalf of districts; eliminating a GF position saves the GF only $50K-$75K</t>
        </is>
      </c>
    </row>
    <row r="37">
      <c r="A37" s="4" t="inlineStr">
        <is>
          <t>V4.2 TWO-TAILED SENSITIVITY: SEVEN LEVERS, 5,832 COMBINATIONS (backs Figure 7)</t>
        </is>
      </c>
    </row>
    <row r="38">
      <c r="A38" s="17" t="inlineStr">
        <is>
          <t>Lever (low / central / high)</t>
        </is>
      </c>
      <c r="B38" s="17" t="inlineStr">
        <is>
          <t>Low</t>
        </is>
      </c>
      <c r="C38" s="17" t="inlineStr">
        <is>
          <t>Central</t>
        </is>
      </c>
      <c r="D38" s="17" t="inlineStr">
        <is>
          <t>High</t>
        </is>
      </c>
      <c r="E38" s="17"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leaving district (grid legs 0/13/26/38/51/64)</t>
        </is>
      </c>
      <c r="B43" s="10" t="n">
        <v>0</v>
      </c>
      <c r="C43" s="10" t="n">
        <v>26</v>
      </c>
      <c r="D43" s="10" t="n">
        <v>64</v>
      </c>
      <c r="E43" s="2" t="inlineStr">
        <is>
          <t>0 to 50 percent of 128, x ($4,626 SEEK base + the add-ons lever); exits free and funded under HB 563, homeschool and statewide virtual academy growing. CONSERVATIVE: this is the year-one wave only; if the same share of each entering class keeps leaving, the missing students more than double (x13/6) once every grade K-12 is short</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23">
        <f>C39+C40+C41*54479.4-C42-C43*(Assumptions!B6+C44)-C45</f>
        <v/>
      </c>
      <c r="C47" s="2" t="inlineStr">
        <is>
          <t>$52,514: about 2.0 percent of the structural deficit</t>
        </is>
      </c>
    </row>
    <row r="48">
      <c r="A48" s="3" t="inlineStr">
        <is>
          <t>Unfavorable tail (all levers adverse)</t>
        </is>
      </c>
      <c r="B48" s="9">
        <f>B39+B40+B41*54479.4-D42-D43*(Assumptions!B6+D44)-D45</f>
        <v/>
      </c>
      <c r="C48" s="2" t="inlineStr">
        <is>
          <t>-$591,545 a year: the closure loses money</t>
        </is>
      </c>
    </row>
    <row r="49">
      <c r="A49" s="3" t="inlineStr">
        <is>
          <t>Favorable tail (all levers favorable)</t>
        </is>
      </c>
      <c r="B49" s="9">
        <f>D39+D40+D41*54479.4-B42-B43*(Assumptions!B6+B44)-B45</f>
        <v/>
      </c>
      <c r="C49" s="2" t="inlineStr">
        <is>
          <t>+$484,582 a year: the district's fullest documented case, still below the plan's $800K-$1M requirement</t>
        </is>
      </c>
    </row>
    <row r="50">
      <c r="A50" s="21" t="inlineStr">
        <is>
          <t>Distribution of all 5,832 combinations enumerated by build/closure_grid.py: capture, fixed-position, add-ons, property and busing levers take three values each, teachers four (0/1/2/3) and leavers six (0/13/26/38/51/64): 3^5 x 4 x 6 = 5,832. v4.5 lever weights: triangular 1-2-1 on the five levers with a documented central setting; uniform on teachers and leavers, where the record gives no defensible center. Weighted median -$20,007 (the median scenario LOSES money); middle half -$137,095 to +$98,603; 55 percent of weighted scenarios negative; range -$591,545 to +$484,582 (unweighted median -$24,431). v4.5 MUNIS pass: the fixed-position lever now uses FY2026 actuals from the district's own ledger ($214,104) instead of working-budget lines ($218,154). One-time transition costs $100K-$300K in year one are additional. REBUILT IN v4.2 on the district's own 48-page Response to the 10 Questions (archived build/response_to_the_10_questions.pdf): the capture lever uses its Appendix A worksheet, every staffing position is priced at its own fully loaded $54,479.40 (Appendix A.1), the teacher top leg follows its own Appendix B classroom count, and the leakage lever runs to 50 percent. The v3.9 grid (2,916 scenarios, median +$21,571, 45 percent negative) is retained in the version history.</t>
        </is>
      </c>
    </row>
    <row r="52">
      <c r="A52" s="4" t="inlineStr">
        <is>
          <t>HOSTILE PAPER CASE, PUBLISHED WITH ITS REFUTATION</t>
        </is>
      </c>
    </row>
    <row r="53">
      <c r="A53" s="3" t="inlineStr">
        <is>
          <t>Every absorbed student priced at the empirical $9,848 marginal</t>
        </is>
      </c>
      <c r="B53" s="9">
        <f>Assumptions!B14*Assumptions!B11-128*Redistricting!B111-137500-10*Assumptions!B6</f>
        <v/>
      </c>
      <c r="C53" s="21" t="inlineStr">
        <is>
          <t>About $1.03M on paper. But it requires Cane Ridge at 525 students against its approved 422 rating and Bourbon Central at 555 against 521: exactly the overcrowding the $14M renovation exists to cure. The savings pre-spend the bond.</t>
        </is>
      </c>
    </row>
    <row r="55">
      <c r="A55" s="4" t="inlineStr">
        <is>
          <t>MILLERSBURG, 2007: THE COUNTY'S OWN PRECEDENT (backs Figure 8)</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5"/>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0">
        <f>B5/B20</f>
        <v/>
      </c>
    </row>
    <row r="22">
      <c r="A22" s="3" t="inlineStr">
        <is>
          <t>Average class size at capacity</t>
        </is>
      </c>
      <c r="B22" s="20">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 (avoided and added sections both priced at the GF-borne $60K central; v3.8 subtracts the NMES additions)</t>
        </is>
      </c>
      <c r="B30" s="24">
        <f>B26-B27+(B28-B24)*Assumptions!B69</f>
        <v/>
      </c>
    </row>
    <row r="31">
      <c r="A31" s="22" t="inlineStr">
        <is>
          <t>Net recurring benefit, high (two avoided sections, same NMES debit)</t>
        </is>
      </c>
      <c r="B31" s="23">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is minus $385K to plus $565K (median $91K)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that appear in no archived source file and that contradict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6">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the county's ONLY private school (St. Mary, Paris, PK-5; federal Private School Survey 2023-24)</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18">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23">
        <f>46*Assumptions!B6</f>
        <v/>
      </c>
    </row>
    <row r="134">
      <c r="A134" s="3" t="inlineStr">
        <is>
          <t>Capture rate that requires: share of registered homeschoolers / share of the full ACS pool</t>
        </is>
      </c>
      <c r="B134" s="19">
        <f>46/B119</f>
        <v/>
      </c>
      <c r="C134" s="19">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7">
        <f>B5*B9</f>
        <v/>
      </c>
    </row>
    <row r="11">
      <c r="A11" s="3" t="inlineStr">
        <is>
          <t>Paris-area zones (sq mi)</t>
        </is>
      </c>
      <c r="B11" s="27">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8" t="n">
        <v>2.5</v>
      </c>
      <c r="C27" s="2" t="inlineStr">
        <is>
          <t>Fuel, maintenance, driver time; replace with district cost data</t>
        </is>
      </c>
    </row>
    <row r="28">
      <c r="A28" s="3" t="inlineStr">
        <is>
          <t>Marginal cost per bus-mile, high</t>
        </is>
      </c>
      <c r="B28" s="28"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9"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9" t="n">
        <v>8.871</v>
      </c>
      <c r="C55" s="2" t="inlineStr">
        <is>
          <t>Great-circle between the school points; unrounded so derived cells match build/zone_distances.json</t>
        </is>
      </c>
    </row>
    <row r="56">
      <c r="A56" s="3" t="inlineStr">
        <is>
          <t>Measured road distance, US 460 (miles)</t>
        </is>
      </c>
      <c r="B56" s="29" t="n">
        <v>10</v>
      </c>
      <c r="C56" s="2" t="inlineStr">
        <is>
          <t>The one pair that can be measured exactly</t>
        </is>
      </c>
    </row>
    <row r="57">
      <c r="A57" s="3" t="inlineStr">
        <is>
          <t>Implied road factor on the measured pair</t>
        </is>
      </c>
      <c r="B57" s="30">
        <f>B56/B55</f>
        <v/>
      </c>
    </row>
    <row r="58">
      <c r="A58" s="3" t="inlineStr">
        <is>
          <t>Road factor applied elsewhere (the measured US 460 pair implies 1.13)</t>
        </is>
      </c>
      <c r="B58" s="28" t="n">
        <v>1.2</v>
      </c>
    </row>
    <row r="59">
      <c r="A59" s="3" t="inlineStr">
        <is>
          <t>Area-average added distance under closure, one way, straight-line</t>
        </is>
      </c>
      <c r="B59" s="29"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9" t="n">
        <v>15.1</v>
      </c>
      <c r="C61" s="2" t="inlineStr">
        <is>
          <t>8.3 miles to NMES; near the Nicholas County line</t>
        </is>
      </c>
    </row>
    <row r="62">
      <c r="A62" s="3" t="inlineStr">
        <is>
          <t>Farthest corner by road: to Paris / to NMES (miles)</t>
        </is>
      </c>
      <c r="B62" s="27">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18">
        <f>Redistricting!B30</f>
        <v/>
      </c>
      <c r="C11" s="18">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18">
        <f>25*(Assumptions!B6-Assumptions!B62)</f>
        <v/>
      </c>
      <c r="C12" s="18">
        <f>50*(Assumptions!B6-Assumptions!B62)</f>
        <v/>
      </c>
      <c r="D12" s="2" t="inlineStr">
        <is>
          <t>25-50 additional students at $4,226 net; pool measured on Redistricting rows 116-135 (259 registered homeschoolers, ACS pool ~1,135, net import already 189); 62 open seats exist at Bourbon Central's approved rating</t>
        </is>
      </c>
      <c r="E12" s="2" t="inlineStr">
        <is>
          <t>New revenue</t>
        </is>
      </c>
      <c r="F12" s="2" t="inlineStr">
        <is>
          <t>Medium; needs an enrollment marketing plan and incentive design</t>
        </is>
      </c>
    </row>
    <row r="13">
      <c r="A13" s="22" t="inlineStr">
        <is>
          <t>Total identified (ranges overlap; not additive to the penny)</t>
        </is>
      </c>
      <c r="B13" s="24">
        <f>SUM(B4:B12)</f>
        <v/>
      </c>
      <c r="C13" s="24">
        <f>SUM(C4:C12)</f>
        <v/>
      </c>
    </row>
    <row r="15">
      <c r="A15" s="4" t="inlineStr">
        <is>
          <t>COMPARISON</t>
        </is>
      </c>
    </row>
    <row r="16">
      <c r="A16" s="3" t="inlineStr">
        <is>
          <t>Package midpoint (raw sum of ranges)</t>
        </is>
      </c>
      <c r="B16" s="9">
        <f>(B13+C13)/2</f>
        <v/>
      </c>
    </row>
    <row r="17">
      <c r="A17" s="3" t="inlineStr">
        <is>
          <t>Published band, low (raw row sums, no haircut)</t>
        </is>
      </c>
      <c r="B17" s="14" t="n">
        <v>1393830</v>
      </c>
    </row>
    <row r="18">
      <c r="A18" s="3" t="inlineStr">
        <is>
          <t>Conservative combined estimate, high</t>
        </is>
      </c>
      <c r="B18" s="14" t="n">
        <v>1700000</v>
      </c>
    </row>
    <row r="19">
      <c r="A19" s="3" t="inlineStr">
        <is>
          <t>Band midpoint (used in Runway sheet)</t>
        </is>
      </c>
      <c r="B19" s="9">
        <f>(B17+B18)/2</f>
        <v/>
      </c>
    </row>
    <row r="20">
      <c r="A20" s="3" t="inlineStr">
        <is>
          <t>Average annual GF drawdown (FY2024-25)</t>
        </is>
      </c>
      <c r="B20" s="18">
        <f>GF_Summary!D16</f>
        <v/>
      </c>
    </row>
    <row r="21">
      <c r="A21" s="3" t="inlineStr">
        <is>
          <t>Closure net saving (base case)</t>
        </is>
      </c>
      <c r="B21" s="18">
        <f>Closure_Model!B20</f>
        <v/>
      </c>
    </row>
    <row r="23">
      <c r="A23" s="21" t="inlineStr">
        <is>
          <t>Reading: the published band IS the raw row sums, $1.4M to $2.3M, with no haircut (v4.4 review);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rows 21 and 35 carry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23">
        <f>SUM(B7:B10)</f>
        <v/>
      </c>
      <c r="C26" s="23">
        <f>SUM(C7:C10)</f>
        <v/>
      </c>
    </row>
    <row r="27">
      <c r="A27" s="3" t="inlineStr">
        <is>
          <t>Move 2: grow enrollment instead of shrinking it (attendance recovery, fill NMES, district-wide recruitment)</t>
        </is>
      </c>
      <c r="B27" s="23">
        <f>B6+B11+B12</f>
        <v/>
      </c>
      <c r="C27" s="23">
        <f>C6+C11+C12</f>
        <v/>
      </c>
    </row>
    <row r="28">
      <c r="A28" s="3" t="inlineStr">
        <is>
          <t>Move 3: the honest revenue conversation, year one (4 percent option plus delinquency; compounds by year three; recallable menu beyond it on Tax_History rows 70-91)</t>
        </is>
      </c>
      <c r="B28" s="23">
        <f>B4+B5</f>
        <v/>
      </c>
      <c r="C28" s="23">
        <f>C4+C5</f>
        <v/>
      </c>
    </row>
    <row r="29">
      <c r="A29" s="3" t="inlineStr">
        <is>
          <t>Growth plan total (equals the raw sum above; the published band is the conservative cut of the same rows)</t>
        </is>
      </c>
      <c r="B29" s="23">
        <f>B26+B27+B28</f>
        <v/>
      </c>
      <c r="C29" s="23">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(Tax_History basis)</t>
        </is>
      </c>
      <c r="B32" s="8" t="n">
        <v>1699479</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23">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23">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23">
        <f>B37+B38</f>
        <v/>
      </c>
    </row>
    <row r="40">
      <c r="A40" s="21" t="inlineStr">
        <is>
          <t>Reading: at the website defaults (half the pool recovered, costs at the low end, full restore) the plan runs about $1.88M ahead of the trending fiscal 2026 gap, funds the 5 percent certified raise, and leaves about $1.38M for debt: about $17.9M of new GF-leveraged bonds plus the advisor's $32M, about $50 million of building capacity with every school open. The zero-recovery floor still clears the gap with about $721K to spare (raise + $2.8M of bonds, about $35M). At the slider top (all 550 recovered, levers high) the plan runs about $3.6M ahead: the raise plus about $40M of bonds, about $72M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9"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1">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2" t="n">
        <v>20</v>
      </c>
    </row>
    <row r="42">
      <c r="A42" s="3" t="inlineStr">
        <is>
          <t>Annual debt service on the proposed bond</t>
        </is>
      </c>
      <c r="B42" s="31">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($52,514); the weighted median itself is negative (-$20,007)</t>
        </is>
      </c>
    </row>
    <row r="47">
      <c r="A47" s="3" t="inlineStr">
        <is>
          <t>Closure model median (v4.5 weighted grid)</t>
        </is>
      </c>
      <c r="B47" s="8" t="n">
        <v>-20007</v>
      </c>
      <c r="C47" s="9">
        <f>B47*(1-(1+B$40)^-B$41)/B$40</f>
        <v/>
      </c>
      <c r="F47" s="21" t="inlineStr">
        <is>
          <t>Closure_Model tab, 5,832-combination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1">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2" t="inlineStr">
        <is>
          <t>Total capacity available without closing a school</t>
        </is>
      </c>
      <c r="B105" s="24">
        <f>B101+B103+B104</f>
        <v/>
      </c>
      <c r="C105" s="24">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18">
        <f>GF_Summary!$D$14</f>
        <v/>
      </c>
      <c r="C8" s="18">
        <f>GF_Summary!$D$14</f>
        <v/>
      </c>
      <c r="D8" s="18">
        <f>GF_Summary!$D$14</f>
        <v/>
      </c>
      <c r="E8" s="18">
        <f>GF_Summary!$D$14</f>
        <v/>
      </c>
    </row>
    <row r="9">
      <c r="A9" s="21" t="inlineStr">
        <is>
          <t>Closure range check (v4.5): at the +$484,582 best case FY2029 ends near $1.2M; at the -$20,007 weighted median the reserves go slightly FASTER than status quo; 55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the v3 central case covers 5.0% of the gap (10.8% at the base case, 21.3% at the favorable tail); longer rides; enrollment-loss risk</t>
        </is>
      </c>
    </row>
    <row r="7">
      <c r="A7" s="3" t="inlineStr">
        <is>
          <t>3. Districtwide recovery plan (menu plus levy; includes rebalancing and growing NMES)</t>
        </is>
      </c>
      <c r="B7" s="18">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9 and Figure 18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9" t="n">
        <v>61.3</v>
      </c>
      <c r="G5" s="21" t="inlineStr">
        <is>
          <t>2019 documented as the board taking the 4% option (Bourbon County Citizen, 9/4/2019); other years' rate type undetermined pending KDE levy files</t>
        </is>
      </c>
    </row>
    <row r="6">
      <c r="A6" s="3" t="inlineStr">
        <is>
          <t>2019</t>
        </is>
      </c>
      <c r="B6" s="29" t="n">
        <v>60.6</v>
      </c>
    </row>
    <row r="7">
      <c r="A7" s="3" t="inlineStr">
        <is>
          <t>2020</t>
        </is>
      </c>
      <c r="B7" s="29" t="n">
        <v>55.9</v>
      </c>
    </row>
    <row r="8">
      <c r="A8" s="3" t="inlineStr">
        <is>
          <t>2021</t>
        </is>
      </c>
      <c r="B8" s="29" t="n">
        <v>54.2</v>
      </c>
    </row>
    <row r="9">
      <c r="A9" s="3" t="inlineStr">
        <is>
          <t>2022</t>
        </is>
      </c>
      <c r="B9" s="29" t="n">
        <v>49.2</v>
      </c>
    </row>
    <row r="10">
      <c r="A10" s="3" t="inlineStr">
        <is>
          <t>2023</t>
        </is>
      </c>
      <c r="B10" s="29" t="n">
        <v>52.4</v>
      </c>
    </row>
    <row r="11">
      <c r="A11" s="3" t="inlineStr">
        <is>
          <t>2024</t>
        </is>
      </c>
      <c r="B11" s="29" t="n">
        <v>52.4</v>
      </c>
    </row>
    <row r="12">
      <c r="A12" s="3" t="inlineStr">
        <is>
          <t>2025</t>
        </is>
      </c>
      <c r="B12" s="29" t="n">
        <v>52.4</v>
      </c>
    </row>
    <row r="14">
      <c r="A14" s="3" t="inlineStr">
        <is>
          <t>Tangible/personal rate (recent)</t>
        </is>
      </c>
      <c r="B14" s="29" t="n">
        <v>64.5</v>
      </c>
    </row>
    <row r="15">
      <c r="A15" s="3" t="inlineStr">
        <is>
          <t>Motor vehicle rate</t>
        </is>
      </c>
      <c r="B15" s="29" t="n">
        <v>54.7</v>
      </c>
    </row>
    <row r="16">
      <c r="A16" s="3" t="inlineStr">
        <is>
          <t>Utility gross receipts</t>
        </is>
      </c>
      <c r="B16" s="13" t="n">
        <v>0.03</v>
      </c>
    </row>
    <row r="18">
      <c r="A18" s="4" t="inlineStr">
        <is>
          <t>AREA DISTRICTS, LEVIED REAL ESTATE RATE 2024-25</t>
        </is>
      </c>
    </row>
    <row r="19">
      <c r="A19" s="3" t="inlineStr">
        <is>
          <t>Fayette County</t>
        </is>
      </c>
      <c r="B19" s="29"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9" t="n">
        <v>71.5</v>
      </c>
    </row>
    <row r="21">
      <c r="A21" s="3" t="inlineStr">
        <is>
          <t>Clark County</t>
        </is>
      </c>
      <c r="B21" s="29" t="n">
        <v>66.8</v>
      </c>
    </row>
    <row r="22">
      <c r="A22" s="3" t="inlineStr">
        <is>
          <t>Bath County</t>
        </is>
      </c>
      <c r="B22" s="29" t="n">
        <v>63.4</v>
      </c>
    </row>
    <row r="23">
      <c r="A23" s="3" t="inlineStr">
        <is>
          <t>Scott County</t>
        </is>
      </c>
      <c r="B23" s="29" t="n">
        <v>62.9</v>
      </c>
    </row>
    <row r="24">
      <c r="A24" s="3" t="inlineStr">
        <is>
          <t>Harrison County</t>
        </is>
      </c>
      <c r="B24" s="29" t="n">
        <v>57.7</v>
      </c>
    </row>
    <row r="25">
      <c r="A25" s="3" t="inlineStr">
        <is>
          <t>Montgomery County</t>
        </is>
      </c>
      <c r="B25" s="29" t="n">
        <v>52.5</v>
      </c>
    </row>
    <row r="26">
      <c r="A26" s="3" t="inlineStr">
        <is>
          <t>Bourbon County</t>
        </is>
      </c>
      <c r="B26" s="29" t="n">
        <v>52.4</v>
      </c>
    </row>
    <row r="27">
      <c r="A27" s="3" t="inlineStr">
        <is>
          <t>Nicholas County</t>
        </is>
      </c>
      <c r="B27" s="29" t="n">
        <v>43.1</v>
      </c>
    </row>
    <row r="28">
      <c r="A28" s="3" t="inlineStr">
        <is>
          <t>Statewide school average (DOR Table II, 2025)</t>
        </is>
      </c>
      <c r="B28" s="29"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17" t="inlineStr">
        <is>
          <t>District</t>
        </is>
      </c>
      <c r="B57" s="17" t="inlineStr">
        <is>
          <t>2012-13</t>
        </is>
      </c>
      <c r="C57" s="17" t="inlineStr">
        <is>
          <t>2013-14</t>
        </is>
      </c>
      <c r="D57" s="17" t="inlineStr">
        <is>
          <t>2014-15</t>
        </is>
      </c>
      <c r="E57" s="17" t="inlineStr">
        <is>
          <t>2015-16</t>
        </is>
      </c>
      <c r="F57" s="17" t="inlineStr">
        <is>
          <t>2016-17</t>
        </is>
      </c>
      <c r="G57" s="17" t="inlineStr">
        <is>
          <t>2017-18</t>
        </is>
      </c>
      <c r="H57" s="17" t="inlineStr">
        <is>
          <t>2018-19</t>
        </is>
      </c>
      <c r="I57" s="17" t="inlineStr">
        <is>
          <t>2019-20</t>
        </is>
      </c>
      <c r="J57" s="17" t="inlineStr">
        <is>
          <t>2020-21</t>
        </is>
      </c>
      <c r="K57" s="17" t="inlineStr">
        <is>
          <t>2021-22</t>
        </is>
      </c>
      <c r="L57" s="17" t="inlineStr">
        <is>
          <t>2022-23</t>
        </is>
      </c>
      <c r="M57" s="17" t="inlineStr">
        <is>
          <t>2023-24</t>
        </is>
      </c>
      <c r="N57" s="17" t="inlineStr">
        <is>
          <t>2024-25</t>
        </is>
      </c>
      <c r="O57" s="17" t="inlineStr">
        <is>
          <t>2025-26</t>
        </is>
      </c>
      <c r="P57" s="17" t="inlineStr">
        <is>
          <t>Change</t>
        </is>
      </c>
    </row>
    <row r="58">
      <c r="A58" s="3" t="inlineStr">
        <is>
          <t>Bath</t>
        </is>
      </c>
      <c r="B58" s="29" t="n">
        <v>36.8</v>
      </c>
      <c r="C58" s="29" t="n">
        <v>44</v>
      </c>
      <c r="D58" s="29" t="n">
        <v>44.2</v>
      </c>
      <c r="E58" s="29" t="n">
        <v>44.8</v>
      </c>
      <c r="F58" s="29" t="n">
        <v>44.8</v>
      </c>
      <c r="G58" s="29" t="n">
        <v>47.2</v>
      </c>
      <c r="H58" s="29" t="n">
        <v>52.6</v>
      </c>
      <c r="I58" s="29" t="n">
        <v>52.6</v>
      </c>
      <c r="J58" s="29" t="n">
        <v>52.6</v>
      </c>
      <c r="K58" s="29" t="n">
        <v>52.4</v>
      </c>
      <c r="L58" s="29" t="n">
        <v>54.1</v>
      </c>
      <c r="M58" s="29" t="n">
        <v>57.8</v>
      </c>
      <c r="N58" s="29" t="n">
        <v>60.7</v>
      </c>
      <c r="O58" s="29" t="n">
        <v>63.4</v>
      </c>
      <c r="P58" s="33">
        <f>(O58/B58-1)</f>
        <v/>
      </c>
    </row>
    <row r="59">
      <c r="A59" s="3" t="inlineStr">
        <is>
          <t>Scott</t>
        </is>
      </c>
      <c r="B59" s="29" t="n">
        <v>45.3</v>
      </c>
      <c r="C59" s="29" t="n">
        <v>47.2</v>
      </c>
      <c r="D59" s="29" t="n">
        <v>47.6</v>
      </c>
      <c r="E59" s="29" t="n">
        <v>49</v>
      </c>
      <c r="F59" s="29" t="n">
        <v>49.6</v>
      </c>
      <c r="G59" s="29" t="n">
        <v>56.4</v>
      </c>
      <c r="H59" s="29" t="n">
        <v>56.4</v>
      </c>
      <c r="I59" s="29" t="n">
        <v>57.1</v>
      </c>
      <c r="J59" s="29" t="n">
        <v>57.6</v>
      </c>
      <c r="K59" s="29" t="n">
        <v>58.1</v>
      </c>
      <c r="L59" s="29" t="n">
        <v>58.1</v>
      </c>
      <c r="M59" s="29" t="n">
        <v>62.8</v>
      </c>
      <c r="N59" s="29" t="n">
        <v>62.9</v>
      </c>
      <c r="O59" s="29" t="n">
        <v>62.9</v>
      </c>
      <c r="P59" s="33">
        <f>(O59/B59-1)</f>
        <v/>
      </c>
    </row>
    <row r="60">
      <c r="A60" s="3" t="inlineStr">
        <is>
          <t>Harrison</t>
        </is>
      </c>
      <c r="B60" s="29" t="n">
        <v>43</v>
      </c>
      <c r="C60" s="29" t="n">
        <v>45.2</v>
      </c>
      <c r="D60" s="29" t="n">
        <v>47.2</v>
      </c>
      <c r="E60" s="29" t="n">
        <v>47.3</v>
      </c>
      <c r="F60" s="29" t="n">
        <v>49</v>
      </c>
      <c r="G60" s="29" t="n">
        <v>50.5</v>
      </c>
      <c r="H60" s="29" t="n">
        <v>50.5</v>
      </c>
      <c r="I60" s="29" t="n">
        <v>51.7</v>
      </c>
      <c r="J60" s="29" t="n">
        <v>51.7</v>
      </c>
      <c r="K60" s="29" t="n">
        <v>57.7</v>
      </c>
      <c r="L60" s="29" t="n">
        <v>57.7</v>
      </c>
      <c r="M60" s="29" t="n">
        <v>57.7</v>
      </c>
      <c r="N60" s="29" t="n">
        <v>57.7</v>
      </c>
      <c r="O60" s="29" t="n">
        <v>57.7</v>
      </c>
      <c r="P60" s="33">
        <f>(O60/B60-1)</f>
        <v/>
      </c>
    </row>
    <row r="61">
      <c r="A61" s="3" t="inlineStr">
        <is>
          <t>Clark</t>
        </is>
      </c>
      <c r="B61" s="29" t="n">
        <v>53.6</v>
      </c>
      <c r="C61" s="29" t="n">
        <v>55.9</v>
      </c>
      <c r="D61" s="29" t="n">
        <v>57.4</v>
      </c>
      <c r="E61" s="29" t="n">
        <v>60</v>
      </c>
      <c r="F61" s="29" t="n">
        <v>62.2</v>
      </c>
      <c r="G61" s="29" t="n">
        <v>62.2</v>
      </c>
      <c r="H61" s="29" t="n">
        <v>62.2</v>
      </c>
      <c r="I61" s="29" t="n">
        <v>63.7</v>
      </c>
      <c r="J61" s="29" t="n">
        <v>63.7</v>
      </c>
      <c r="K61" s="29" t="n">
        <v>64.90000000000001</v>
      </c>
      <c r="L61" s="29" t="n">
        <v>65.90000000000001</v>
      </c>
      <c r="M61" s="29" t="n">
        <v>67.5</v>
      </c>
      <c r="N61" s="29" t="n">
        <v>66.8</v>
      </c>
      <c r="O61" s="29" t="n">
        <v>65.5</v>
      </c>
      <c r="P61" s="33">
        <f>(O61/B61-1)</f>
        <v/>
      </c>
    </row>
    <row r="62">
      <c r="A62" s="3" t="inlineStr">
        <is>
          <t>Fayette</t>
        </is>
      </c>
      <c r="B62" s="29" t="n">
        <v>67.40000000000001</v>
      </c>
      <c r="C62" s="29" t="n">
        <v>69.59999999999999</v>
      </c>
      <c r="D62" s="29" t="n">
        <v>71.90000000000001</v>
      </c>
      <c r="E62" s="29" t="n">
        <v>74</v>
      </c>
      <c r="F62" s="29" t="n">
        <v>75</v>
      </c>
      <c r="G62" s="29" t="n">
        <v>75</v>
      </c>
      <c r="H62" s="29" t="n">
        <v>81</v>
      </c>
      <c r="I62" s="29" t="n">
        <v>81</v>
      </c>
      <c r="J62" s="29" t="n">
        <v>81</v>
      </c>
      <c r="K62" s="29" t="n">
        <v>80.8</v>
      </c>
      <c r="L62" s="29" t="n">
        <v>83.3</v>
      </c>
      <c r="M62" s="29" t="n">
        <v>81</v>
      </c>
      <c r="N62" s="29" t="n">
        <v>80.90000000000001</v>
      </c>
      <c r="O62" s="29" t="n">
        <v>79.8</v>
      </c>
      <c r="P62" s="33">
        <f>(O62/B62-1)</f>
        <v/>
      </c>
    </row>
    <row r="63">
      <c r="A63" s="3" t="inlineStr">
        <is>
          <t>Paris Ind</t>
        </is>
      </c>
      <c r="B63" s="29" t="n">
        <v>61</v>
      </c>
      <c r="C63" s="29" t="n">
        <v>64.09999999999999</v>
      </c>
      <c r="D63" s="29" t="n">
        <v>66.5</v>
      </c>
      <c r="E63" s="29" t="n">
        <v>69</v>
      </c>
      <c r="F63" s="29" t="n">
        <v>71.59999999999999</v>
      </c>
      <c r="G63" s="29" t="n">
        <v>74.40000000000001</v>
      </c>
      <c r="H63" s="29" t="n">
        <v>78.3</v>
      </c>
      <c r="I63" s="29" t="n">
        <v>80.40000000000001</v>
      </c>
      <c r="J63" s="29" t="n">
        <v>68.7</v>
      </c>
      <c r="K63" s="29" t="n">
        <v>74.5</v>
      </c>
      <c r="L63" s="29" t="n">
        <v>71.5</v>
      </c>
      <c r="M63" s="29" t="n">
        <v>71.5</v>
      </c>
      <c r="N63" s="29" t="n">
        <v>71.5</v>
      </c>
      <c r="O63" s="29" t="n">
        <v>71.5</v>
      </c>
      <c r="P63" s="33">
        <f>(O63/B63-1)</f>
        <v/>
      </c>
    </row>
    <row r="64">
      <c r="A64" s="3" t="inlineStr">
        <is>
          <t>Nicholas</t>
        </is>
      </c>
      <c r="B64" s="29" t="n">
        <v>38.4</v>
      </c>
      <c r="C64" s="29" t="n">
        <v>38.7</v>
      </c>
      <c r="D64" s="29" t="n">
        <v>38.5</v>
      </c>
      <c r="E64" s="29" t="n">
        <v>38.3</v>
      </c>
      <c r="F64" s="29" t="n">
        <v>38.5</v>
      </c>
      <c r="G64" s="29" t="n">
        <v>39.5</v>
      </c>
      <c r="H64" s="29" t="n">
        <v>39.6</v>
      </c>
      <c r="I64" s="29" t="n">
        <v>41</v>
      </c>
      <c r="J64" s="29" t="n">
        <v>40.1</v>
      </c>
      <c r="K64" s="29" t="n">
        <v>40.2</v>
      </c>
      <c r="L64" s="29" t="n">
        <v>41.4</v>
      </c>
      <c r="M64" s="29" t="n">
        <v>42.5</v>
      </c>
      <c r="N64" s="29" t="n">
        <v>43.6</v>
      </c>
      <c r="O64" s="29" t="n">
        <v>43.1</v>
      </c>
      <c r="P64" s="33">
        <f>(O64/B64-1)</f>
        <v/>
      </c>
    </row>
    <row r="65">
      <c r="A65" s="3" t="inlineStr">
        <is>
          <t>Montgomery</t>
        </is>
      </c>
      <c r="B65" s="29" t="n">
        <v>49.4</v>
      </c>
      <c r="C65" s="29" t="n">
        <v>49.4</v>
      </c>
      <c r="D65" s="29" t="n">
        <v>49</v>
      </c>
      <c r="E65" s="29" t="n">
        <v>48.9</v>
      </c>
      <c r="F65" s="29" t="n">
        <v>50.8</v>
      </c>
      <c r="G65" s="29" t="n">
        <v>51.3</v>
      </c>
      <c r="H65" s="29" t="n">
        <v>52.8</v>
      </c>
      <c r="I65" s="29" t="n">
        <v>52.3</v>
      </c>
      <c r="J65" s="29" t="n">
        <v>52.3</v>
      </c>
      <c r="K65" s="29" t="n">
        <v>52.3</v>
      </c>
      <c r="L65" s="29" t="n">
        <v>52.2</v>
      </c>
      <c r="M65" s="29" t="n">
        <v>52.4</v>
      </c>
      <c r="N65" s="29" t="n">
        <v>52.5</v>
      </c>
      <c r="O65" s="29" t="n">
        <v>52.5</v>
      </c>
      <c r="P65" s="33">
        <f>(O65/B65-1)</f>
        <v/>
      </c>
    </row>
    <row r="66">
      <c r="A66" s="3" t="inlineStr">
        <is>
          <t>Bourbon Co</t>
        </is>
      </c>
      <c r="B66" s="29" t="n">
        <v>55.4</v>
      </c>
      <c r="C66" s="29" t="n">
        <v>57.6</v>
      </c>
      <c r="D66" s="29" t="n">
        <v>57.3</v>
      </c>
      <c r="E66" s="29" t="n">
        <v>59.1</v>
      </c>
      <c r="F66" s="29" t="n">
        <v>58.8</v>
      </c>
      <c r="G66" s="29" t="n">
        <v>60</v>
      </c>
      <c r="H66" s="29" t="n">
        <v>61.3</v>
      </c>
      <c r="I66" s="29" t="n">
        <v>60.6</v>
      </c>
      <c r="J66" s="29" t="n">
        <v>55.9</v>
      </c>
      <c r="K66" s="29" t="n">
        <v>54.2</v>
      </c>
      <c r="L66" s="29" t="n">
        <v>49.2</v>
      </c>
      <c r="M66" s="29" t="n">
        <v>52.4</v>
      </c>
      <c r="N66" s="29" t="n">
        <v>52.4</v>
      </c>
      <c r="O66" s="29" t="n">
        <v>52.4</v>
      </c>
      <c r="P66" s="33">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29" t="n">
        <v>41</v>
      </c>
    </row>
    <row r="72">
      <c r="A72" s="3" t="inlineStr">
        <is>
          <t>Yield per cent of General Fund rate, per year</t>
        </is>
      </c>
      <c r="B72" s="9">
        <f>B32/B71</f>
        <v/>
      </c>
      <c r="G72" s="21" t="inlineStr">
        <is>
          <t>FY2025 GF collections divided by the 41.0 GF cents: about $191,000 per cent. Real and personal property only; tangible and motor vehicle rates untouched, so every figure below is conservative</t>
        </is>
      </c>
    </row>
    <row r="73">
      <c r="A73" s="3" t="inlineStr">
        <is>
          <t>Median owner-occupied home value, Bourbon County (Census ACS 2019-2023, table B25077)</t>
        </is>
      </c>
      <c r="B73" s="8" t="n">
        <v>211600</v>
      </c>
    </row>
    <row r="74">
      <c r="A74" s="3" t="inlineStr">
        <is>
          <t>Cost per added cent to that household, per year</t>
        </is>
      </c>
      <c r="B74" s="34">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17" t="inlineStr">
        <is>
          <t>Option</t>
        </is>
      </c>
      <c r="B76" s="17" t="inlineStr">
        <is>
          <t>New rate</t>
        </is>
      </c>
      <c r="C76" s="17" t="inlineStr">
        <is>
          <t>Added cents</t>
        </is>
      </c>
      <c r="D76" s="17" t="inlineStr">
        <is>
          <t>Revenue per year</t>
        </is>
      </c>
      <c r="E76" s="17" t="inlineStr">
        <is>
          <t>Median-home cost/yr</t>
        </is>
      </c>
      <c r="F76" s="17" t="inlineStr">
        <is>
          <t>Direct bond capacity</t>
        </is>
      </c>
    </row>
    <row r="77">
      <c r="A77" s="3" t="inlineStr">
        <is>
          <t>Match Harrison County (2025-26 levied rate)</t>
        </is>
      </c>
      <c r="B77" s="20">
        <f>B24</f>
        <v/>
      </c>
      <c r="C77" s="35">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0">
        <f>MEDIAN(O58,O59,O60,O61,O63,O64,O65,O66)</f>
        <v/>
      </c>
      <c r="C78" s="35">
        <f>B78-B12</f>
        <v/>
      </c>
      <c r="D78" s="9">
        <f>C78*$B$72</f>
        <v/>
      </c>
      <c r="E78" s="9">
        <f>C78*$B$74</f>
        <v/>
      </c>
      <c r="F78" s="9">
        <f>D78*(1-(1+Debt_Service!B40)^-Debt_Service!B41)/Debt_Service!B40</f>
        <v/>
      </c>
    </row>
    <row r="79">
      <c r="A79" s="3" t="inlineStr">
        <is>
          <t>Restore Bourbon's own 2018 rate</t>
        </is>
      </c>
      <c r="B79" s="20">
        <f>B5</f>
        <v/>
      </c>
      <c r="C79" s="35">
        <f>B79-B12</f>
        <v/>
      </c>
      <c r="D79" s="9">
        <f>C79*$B$72</f>
        <v/>
      </c>
      <c r="E79" s="9">
        <f>C79*$B$74</f>
        <v/>
      </c>
      <c r="F79" s="9">
        <f>D79*(1-(1+Debt_Service!B40)^-Debt_Service!B41)/Debt_Service!B40</f>
        <v/>
      </c>
    </row>
    <row r="80">
      <c r="A80" s="3" t="inlineStr">
        <is>
          <t>Match Clark County (2025-26 levied rate)</t>
        </is>
      </c>
      <c r="B80" s="20">
        <f>O61</f>
        <v/>
      </c>
      <c r="C80" s="35">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23">
        <f>B84-B83</f>
        <v/>
      </c>
      <c r="G85" s="21" t="inlineStr">
        <is>
          <t>About $4,551. The rate this board itself levied in 2018 is, almost to the dollar, the make-the-General-Fund-stand-alone rate</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23">
        <f>B86+B87+B88</f>
        <v/>
      </c>
      <c r="G89" s="21" t="inlineStr">
        <is>
          <t>Roughly $35 million, for $15.69 a month on the median home, with nothing closed. The Harrison and median options are honest partial steps, leaving about $680,000 and $190,000 a year to find from the alternatives menu before the sweep can end; the Clark option adds about $10.5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0">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17" t="inlineStr">
        <is>
          <t>Assessment growth</t>
        </is>
      </c>
      <c r="B98" s="17" t="inlineStr">
        <is>
          <t>Compensating rate</t>
        </is>
      </c>
      <c r="C98" s="17" t="inlineStr">
        <is>
          <t>4 percent option</t>
        </is>
      </c>
      <c r="D98" s="17" t="inlineStr">
        <is>
          <t>Rate raised 4 percent</t>
        </is>
      </c>
      <c r="E98" s="17" t="inlineStr">
        <is>
          <t>Revenue at 4 percent option</t>
        </is>
      </c>
      <c r="F98" s="17" t="inlineStr">
        <is>
          <t>Revenue at rate x 1.04</t>
        </is>
      </c>
      <c r="G98" s="17" t="inlineStr">
        <is>
          <t>Above the ceiling, recallable</t>
        </is>
      </c>
    </row>
    <row r="99">
      <c r="A99" s="36" t="n">
        <v>0</v>
      </c>
      <c r="B99" s="30">
        <f>$B$95/(1+A99)</f>
        <v/>
      </c>
      <c r="C99" s="30">
        <f>B99*1.04</f>
        <v/>
      </c>
      <c r="D99" s="30">
        <f>$B$95*1.04</f>
        <v/>
      </c>
      <c r="E99" s="9">
        <f>$B$94*(1+A99)*C99/100/100</f>
        <v/>
      </c>
      <c r="F99" s="9">
        <f>$B$94*(1+A99)*D99/100/100</f>
        <v/>
      </c>
      <c r="G99" s="23">
        <f>F99-E99</f>
        <v/>
      </c>
    </row>
    <row r="100">
      <c r="A100" s="36" t="n">
        <v>0.03</v>
      </c>
      <c r="B100" s="30">
        <f>$B$95/(1+A100)</f>
        <v/>
      </c>
      <c r="C100" s="30">
        <f>B100*1.04</f>
        <v/>
      </c>
      <c r="D100" s="30">
        <f>$B$95*1.04</f>
        <v/>
      </c>
      <c r="E100" s="9">
        <f>$B$94*(1+A100)*C100/100/100</f>
        <v/>
      </c>
      <c r="F100" s="9">
        <f>$B$94*(1+A100)*D100/100/100</f>
        <v/>
      </c>
      <c r="G100" s="23">
        <f>F100-E100</f>
        <v/>
      </c>
    </row>
    <row r="101">
      <c r="A101" s="36" t="n">
        <v>0.05</v>
      </c>
      <c r="B101" s="30">
        <f>$B$95/(1+A101)</f>
        <v/>
      </c>
      <c r="C101" s="30">
        <f>B101*1.04</f>
        <v/>
      </c>
      <c r="D101" s="30">
        <f>$B$95*1.04</f>
        <v/>
      </c>
      <c r="E101" s="9">
        <f>$B$94*(1+A101)*C101/100/100</f>
        <v/>
      </c>
      <c r="F101" s="9">
        <f>$B$94*(1+A101)*D101/100/100</f>
        <v/>
      </c>
      <c r="G101" s="23">
        <f>F101-E101</f>
        <v/>
      </c>
    </row>
    <row r="102">
      <c r="A102" s="36" t="n">
        <v>0.07000000000000001</v>
      </c>
      <c r="B102" s="30">
        <f>$B$95/(1+A102)</f>
        <v/>
      </c>
      <c r="C102" s="30">
        <f>B102*1.04</f>
        <v/>
      </c>
      <c r="D102" s="30">
        <f>$B$95*1.04</f>
        <v/>
      </c>
      <c r="E102" s="9">
        <f>$B$94*(1+A102)*C102/100/100</f>
        <v/>
      </c>
      <c r="F102" s="9">
        <f>$B$94*(1+A102)*D102/100/100</f>
        <v/>
      </c>
      <c r="G102" s="23">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29" t="n">
        <v>49.2</v>
      </c>
    </row>
    <row r="110">
      <c r="A110" s="3" t="inlineStr">
        <is>
          <t>Total levied rate, tax year 2023 (held at 52.4 for three years since)</t>
        </is>
      </c>
      <c r="B110" s="29" t="n">
        <v>52.4</v>
      </c>
    </row>
    <row r="111">
      <c r="A111" s="3" t="inlineStr">
        <is>
          <t>Net change</t>
        </is>
      </c>
      <c r="B111" s="35">
        <f>B110-B109</f>
        <v/>
      </c>
    </row>
    <row r="112">
      <c r="A112" s="3" t="inlineStr">
        <is>
          <t>Recallable facilities nickel levied 8/17/2023 (KDE levied-rates file, current year)</t>
        </is>
      </c>
      <c r="B112" s="29" t="n">
        <v>5.7</v>
      </c>
    </row>
    <row r="113">
      <c r="A113" s="3" t="inlineStr">
        <is>
          <t>Implied change in the rest of the rate</t>
        </is>
      </c>
      <c r="B113" s="37">
        <f>B111-B112</f>
        <v/>
      </c>
    </row>
    <row r="114">
      <c r="A114" s="3" t="inlineStr">
        <is>
          <t>Implied annual change in unrestricted revenue</t>
        </is>
      </c>
      <c r="B114" s="23">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9" t="n">
        <v>56.5</v>
      </c>
      <c r="C15" s="29" t="n">
        <v>63.9</v>
      </c>
      <c r="D15" s="29" t="n">
        <v>68.59999999999999</v>
      </c>
      <c r="E15" s="29" t="n">
        <v>87.90000000000001</v>
      </c>
      <c r="F15" s="29" t="n">
        <v>85.8</v>
      </c>
      <c r="G15" s="29" t="n">
        <v>72.5</v>
      </c>
      <c r="H15" s="29" t="n">
        <v>67.59999999999999</v>
      </c>
      <c r="I15" s="29" t="n">
        <v>56.6</v>
      </c>
      <c r="J15" s="29" t="n">
        <v>56.9</v>
      </c>
      <c r="K15" s="29" t="n">
        <v>48.7</v>
      </c>
      <c r="L15" s="29" t="n">
        <v>49.3</v>
      </c>
      <c r="M15" s="29" t="n">
        <v>40</v>
      </c>
      <c r="N15" s="29" t="n">
        <v>50.4</v>
      </c>
      <c r="P15" s="29" t="n">
        <v>47.7</v>
      </c>
      <c r="Q15" s="29" t="n">
        <v>32.1</v>
      </c>
      <c r="R15" s="29" t="n">
        <v>54.1</v>
      </c>
      <c r="S15" s="29" t="n">
        <v>58.2</v>
      </c>
    </row>
    <row r="16">
      <c r="A16" s="3" t="inlineStr">
        <is>
          <t>Bourbon Central (Bourbon Co.)</t>
        </is>
      </c>
      <c r="B16" s="29" t="n">
        <v>77.5</v>
      </c>
      <c r="C16" s="29" t="n">
        <v>81.90000000000001</v>
      </c>
      <c r="D16" s="29" t="n">
        <v>72.59999999999999</v>
      </c>
      <c r="E16" s="29" t="n">
        <v>69.59999999999999</v>
      </c>
      <c r="F16" s="29" t="n">
        <v>63</v>
      </c>
      <c r="G16" s="29" t="n">
        <v>74.7</v>
      </c>
      <c r="H16" s="29" t="n">
        <v>67.59999999999999</v>
      </c>
      <c r="I16" s="29" t="n">
        <v>51.8</v>
      </c>
      <c r="J16" s="29" t="n">
        <v>52.1</v>
      </c>
      <c r="K16" s="29" t="n">
        <v>30</v>
      </c>
      <c r="L16" s="29" t="n">
        <v>34</v>
      </c>
      <c r="M16" s="29" t="n">
        <v>32.8</v>
      </c>
      <c r="N16" s="29" t="n">
        <v>39.9</v>
      </c>
      <c r="O16" s="29" t="n">
        <v>20</v>
      </c>
      <c r="P16" s="29" t="n">
        <v>29.9</v>
      </c>
      <c r="Q16" s="29" t="n">
        <v>29</v>
      </c>
      <c r="R16" s="29" t="n">
        <v>23.8</v>
      </c>
      <c r="S16" s="29" t="n">
        <v>26.5</v>
      </c>
    </row>
    <row r="17">
      <c r="A17" s="3" t="inlineStr">
        <is>
          <t>Cane Ridge (Bourbon Co.)</t>
        </is>
      </c>
      <c r="B17" s="29" t="n">
        <v>35.2</v>
      </c>
      <c r="C17" s="29" t="n">
        <v>50.9</v>
      </c>
      <c r="D17" s="29" t="n">
        <v>56.2</v>
      </c>
      <c r="E17" s="29" t="n">
        <v>65.5</v>
      </c>
      <c r="F17" s="29" t="n">
        <v>34.5</v>
      </c>
      <c r="G17" s="29" t="n">
        <v>34</v>
      </c>
      <c r="H17" s="29" t="n">
        <v>49.6</v>
      </c>
      <c r="I17" s="29" t="n">
        <v>51</v>
      </c>
      <c r="J17" s="29" t="n">
        <v>51.1</v>
      </c>
      <c r="K17" s="29" t="n">
        <v>57.5</v>
      </c>
      <c r="L17" s="29" t="n">
        <v>50.4</v>
      </c>
      <c r="M17" s="29" t="n">
        <v>41.4</v>
      </c>
      <c r="N17" s="29" t="n">
        <v>38.8</v>
      </c>
      <c r="O17" s="29" t="n">
        <v>23.8</v>
      </c>
      <c r="P17" s="29" t="n">
        <v>38.7</v>
      </c>
      <c r="Q17" s="29" t="n">
        <v>34.6</v>
      </c>
      <c r="R17" s="29" t="n">
        <v>35.8</v>
      </c>
      <c r="S17" s="29" t="n">
        <v>19.3</v>
      </c>
    </row>
    <row r="18">
      <c r="A18" s="3" t="inlineStr">
        <is>
          <t>Paris Elementary (Paris Indep.)</t>
        </is>
      </c>
      <c r="R18" s="29" t="n">
        <v>16.8</v>
      </c>
      <c r="S18" s="29" t="n">
        <v>12.2</v>
      </c>
    </row>
    <row r="19">
      <c r="A19" s="3" t="inlineStr">
        <is>
          <t>Shearer (Clark Co.)</t>
        </is>
      </c>
      <c r="R19" s="29" t="n">
        <v>30.7</v>
      </c>
      <c r="S19" s="29" t="n">
        <v>42.3</v>
      </c>
    </row>
    <row r="20">
      <c r="A20" s="3" t="inlineStr">
        <is>
          <t>Justice (Clark Co.)</t>
        </is>
      </c>
      <c r="R20" s="29" t="n">
        <v>43.2</v>
      </c>
      <c r="S20" s="29" t="n">
        <v>39.3</v>
      </c>
    </row>
    <row r="21">
      <c r="A21" s="3" t="inlineStr">
        <is>
          <t>Strode Station (Clark Co.)</t>
        </is>
      </c>
      <c r="R21" s="29" t="n">
        <v>43.2</v>
      </c>
      <c r="S21" s="29" t="n">
        <v>34.2</v>
      </c>
    </row>
    <row r="22">
      <c r="A22" s="3" t="inlineStr">
        <is>
          <t>Conkwright (Clark Co.)</t>
        </is>
      </c>
      <c r="R22" s="29" t="n">
        <v>15.6</v>
      </c>
      <c r="S22" s="29" t="n">
        <v>17.5</v>
      </c>
    </row>
    <row r="23">
      <c r="A23" s="3" t="inlineStr">
        <is>
          <t>Northview (Montgomery Co.)</t>
        </is>
      </c>
      <c r="R23" s="29" t="n">
        <v>67.40000000000001</v>
      </c>
      <c r="S23" s="29" t="n">
        <v>68.90000000000001</v>
      </c>
    </row>
    <row r="24">
      <c r="A24" s="3" t="inlineStr">
        <is>
          <t>Mapleton (Montgomery Co.)</t>
        </is>
      </c>
      <c r="R24" s="29" t="n">
        <v>65.90000000000001</v>
      </c>
      <c r="S24" s="29" t="n">
        <v>65.09999999999999</v>
      </c>
    </row>
    <row r="25">
      <c r="A25" s="3" t="inlineStr">
        <is>
          <t>Nicholas County Elementary (Nicholas Co.)</t>
        </is>
      </c>
      <c r="R25" s="29"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8"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9" t="n">
        <v>51.9</v>
      </c>
      <c r="C45" s="29" t="n">
        <v>59.7</v>
      </c>
      <c r="D45" s="29" t="n">
        <v>63.2</v>
      </c>
      <c r="E45" s="29" t="n">
        <v>53.2</v>
      </c>
      <c r="F45" s="29" t="n">
        <v>56.1</v>
      </c>
      <c r="G45" s="29" t="n">
        <v>55.6</v>
      </c>
      <c r="H45" s="29" t="n">
        <v>42.3</v>
      </c>
      <c r="I45" s="29" t="n">
        <v>48.4</v>
      </c>
      <c r="J45" s="29" t="n">
        <v>21.4</v>
      </c>
      <c r="K45" s="29" t="n">
        <v>32</v>
      </c>
      <c r="L45" s="29" t="n">
        <v>43</v>
      </c>
      <c r="M45" s="29" t="n">
        <v>45</v>
      </c>
      <c r="N45" s="29" t="n">
        <v>41</v>
      </c>
    </row>
    <row r="46">
      <c r="A46" s="3" t="inlineStr">
        <is>
          <t>Reading: Bourbon Central</t>
        </is>
      </c>
      <c r="B46" s="29" t="n">
        <v>62.1</v>
      </c>
      <c r="C46" s="29" t="n">
        <v>56.6</v>
      </c>
      <c r="D46" s="29" t="n">
        <v>61.2</v>
      </c>
      <c r="E46" s="29" t="n">
        <v>55.7</v>
      </c>
      <c r="F46" s="29" t="n">
        <v>47.9</v>
      </c>
      <c r="G46" s="29" t="n">
        <v>47.9</v>
      </c>
      <c r="H46" s="29" t="n">
        <v>49.3</v>
      </c>
      <c r="I46" s="29" t="n">
        <v>49.1</v>
      </c>
      <c r="J46" s="29" t="n">
        <v>27.1</v>
      </c>
      <c r="K46" s="29" t="n">
        <v>43</v>
      </c>
      <c r="L46" s="29" t="n">
        <v>37</v>
      </c>
      <c r="M46" s="29" t="n">
        <v>36</v>
      </c>
      <c r="N46" s="29" t="n">
        <v>38</v>
      </c>
    </row>
    <row r="47">
      <c r="A47" s="3" t="inlineStr">
        <is>
          <t>Reading: Cane Ridge</t>
        </is>
      </c>
      <c r="B47" s="29" t="n">
        <v>42.9</v>
      </c>
      <c r="C47" s="29" t="n">
        <v>47.2</v>
      </c>
      <c r="D47" s="29" t="n">
        <v>54.5</v>
      </c>
      <c r="E47" s="29" t="n">
        <v>55.3</v>
      </c>
      <c r="F47" s="29" t="n">
        <v>59.3</v>
      </c>
      <c r="G47" s="29" t="n">
        <v>57.1</v>
      </c>
      <c r="H47" s="29" t="n">
        <v>52</v>
      </c>
      <c r="I47" s="29" t="n">
        <v>49.6</v>
      </c>
      <c r="J47" s="29" t="n">
        <v>26.5</v>
      </c>
      <c r="K47" s="29" t="n">
        <v>44</v>
      </c>
      <c r="L47" s="29" t="n">
        <v>40</v>
      </c>
      <c r="M47" s="29" t="n">
        <v>40</v>
      </c>
      <c r="N47" s="29" t="n">
        <v>37</v>
      </c>
    </row>
    <row r="48">
      <c r="A48" s="3" t="inlineStr">
        <is>
          <t>Reading: Paris Elementary</t>
        </is>
      </c>
      <c r="B48" s="29" t="n">
        <v>31</v>
      </c>
      <c r="C48" s="29" t="n">
        <v>34.1</v>
      </c>
      <c r="D48" s="29" t="n">
        <v>42.9</v>
      </c>
      <c r="E48" s="29" t="n">
        <v>38.9</v>
      </c>
      <c r="F48" s="29" t="n">
        <v>41.2</v>
      </c>
      <c r="G48" s="29" t="n">
        <v>34.3</v>
      </c>
      <c r="H48" s="29" t="n">
        <v>34.4</v>
      </c>
      <c r="I48" s="29" t="n">
        <v>35.3</v>
      </c>
      <c r="J48" s="29" t="n">
        <v>25</v>
      </c>
      <c r="K48" s="29" t="n">
        <v>28</v>
      </c>
      <c r="L48" s="29" t="n">
        <v>25</v>
      </c>
      <c r="M48" s="29" t="n">
        <v>30</v>
      </c>
      <c r="N48" s="29" t="n">
        <v>25</v>
      </c>
    </row>
    <row r="49">
      <c r="A49" s="3" t="inlineStr">
        <is>
          <t>Mathematics: North Middletown</t>
        </is>
      </c>
      <c r="B49" s="29" t="n">
        <v>53.2</v>
      </c>
      <c r="C49" s="29" t="n">
        <v>49.4</v>
      </c>
      <c r="D49" s="29" t="n">
        <v>55.3</v>
      </c>
      <c r="E49" s="29" t="n">
        <v>59.5</v>
      </c>
      <c r="F49" s="29" t="n">
        <v>62.1</v>
      </c>
      <c r="G49" s="29" t="n">
        <v>50.8</v>
      </c>
      <c r="H49" s="29" t="n">
        <v>47.9</v>
      </c>
      <c r="I49" s="29" t="n">
        <v>48.4</v>
      </c>
      <c r="J49" s="29" t="n">
        <v>17.9</v>
      </c>
      <c r="K49" s="29" t="n">
        <v>31</v>
      </c>
      <c r="L49" s="29" t="n">
        <v>30</v>
      </c>
      <c r="M49" s="29" t="n">
        <v>45</v>
      </c>
      <c r="N49" s="29" t="n">
        <v>31</v>
      </c>
    </row>
    <row r="50">
      <c r="A50" s="3" t="inlineStr">
        <is>
          <t>Mathematics: Bourbon Central</t>
        </is>
      </c>
      <c r="B50" s="29" t="n">
        <v>47.1</v>
      </c>
      <c r="C50" s="29" t="n">
        <v>47.4</v>
      </c>
      <c r="D50" s="29" t="n">
        <v>43</v>
      </c>
      <c r="E50" s="29" t="n">
        <v>43.6</v>
      </c>
      <c r="F50" s="29" t="n">
        <v>40</v>
      </c>
      <c r="G50" s="29" t="n">
        <v>43.5</v>
      </c>
      <c r="H50" s="29" t="n">
        <v>41.8</v>
      </c>
      <c r="I50" s="29" t="n">
        <v>45.1</v>
      </c>
      <c r="J50" s="29" t="n">
        <v>31.7</v>
      </c>
      <c r="K50" s="29" t="n">
        <v>27</v>
      </c>
      <c r="L50" s="29" t="n">
        <v>28</v>
      </c>
      <c r="M50" s="29" t="n">
        <v>23</v>
      </c>
      <c r="N50" s="29" t="n">
        <v>28</v>
      </c>
    </row>
    <row r="51">
      <c r="A51" s="3" t="inlineStr">
        <is>
          <t>Mathematics: Cane Ridge</t>
        </is>
      </c>
      <c r="B51" s="29" t="n">
        <v>33.3</v>
      </c>
      <c r="C51" s="29" t="n">
        <v>37.7</v>
      </c>
      <c r="D51" s="29" t="n">
        <v>43.1</v>
      </c>
      <c r="E51" s="29" t="n">
        <v>46.1</v>
      </c>
      <c r="F51" s="29" t="n">
        <v>54.4</v>
      </c>
      <c r="G51" s="29" t="n">
        <v>45.9</v>
      </c>
      <c r="H51" s="29" t="n">
        <v>41.5</v>
      </c>
      <c r="I51" s="29" t="n">
        <v>39</v>
      </c>
      <c r="J51" s="29" t="n">
        <v>25.2</v>
      </c>
      <c r="K51" s="29" t="n">
        <v>33</v>
      </c>
      <c r="L51" s="29" t="n">
        <v>35</v>
      </c>
      <c r="M51" s="29" t="n">
        <v>30</v>
      </c>
      <c r="N51" s="29" t="n">
        <v>27</v>
      </c>
    </row>
    <row r="52">
      <c r="A52" s="3" t="inlineStr">
        <is>
          <t>Mathematics: Paris Elementary</t>
        </is>
      </c>
      <c r="B52" s="29" t="n">
        <v>29.7</v>
      </c>
      <c r="C52" s="29" t="n">
        <v>25</v>
      </c>
      <c r="D52" s="29" t="n">
        <v>26.8</v>
      </c>
      <c r="E52" s="29" t="n">
        <v>22.9</v>
      </c>
      <c r="F52" s="29" t="n">
        <v>41.9</v>
      </c>
      <c r="G52" s="29" t="n">
        <v>28.7</v>
      </c>
      <c r="H52" s="29" t="n">
        <v>30</v>
      </c>
      <c r="I52" s="29" t="n">
        <v>32</v>
      </c>
      <c r="J52" s="29" t="n">
        <v>15.3</v>
      </c>
      <c r="K52" s="29" t="n">
        <v>23</v>
      </c>
      <c r="L52" s="29" t="n">
        <v>32</v>
      </c>
      <c r="M52" s="29" t="n">
        <v>27</v>
      </c>
      <c r="N52" s="29"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9" t="n">
        <v>62.6</v>
      </c>
      <c r="C56" s="29" t="n">
        <v>68.8</v>
      </c>
      <c r="D56" s="29" t="n">
        <v>71.40000000000001</v>
      </c>
      <c r="E56" s="29" t="n">
        <v>72.09999999999999</v>
      </c>
      <c r="F56" s="29" t="n">
        <v>79.09999999999999</v>
      </c>
      <c r="K56" s="29" t="n">
        <v>51.9</v>
      </c>
      <c r="L56" s="29" t="n">
        <v>62.2</v>
      </c>
      <c r="M56" s="29" t="n">
        <v>74.5</v>
      </c>
      <c r="N56" s="29" t="n">
        <v>54</v>
      </c>
    </row>
    <row r="57">
      <c r="A57" s="3" t="inlineStr">
        <is>
          <t>Bourbon Central</t>
        </is>
      </c>
      <c r="B57" s="29" t="n">
        <v>63.2</v>
      </c>
      <c r="C57" s="29" t="n">
        <v>63</v>
      </c>
      <c r="D57" s="29" t="n">
        <v>69.8</v>
      </c>
      <c r="E57" s="29" t="n">
        <v>67.8</v>
      </c>
      <c r="F57" s="29" t="n">
        <v>56.8</v>
      </c>
      <c r="K57" s="29" t="n">
        <v>52.8</v>
      </c>
      <c r="L57" s="29" t="n">
        <v>56.7</v>
      </c>
      <c r="M57" s="29" t="n">
        <v>50.3</v>
      </c>
      <c r="N57" s="29" t="n">
        <v>55.4</v>
      </c>
    </row>
    <row r="58">
      <c r="A58" s="3" t="inlineStr">
        <is>
          <t>Cane Ridge</t>
        </is>
      </c>
      <c r="B58" s="29" t="n">
        <v>53.3</v>
      </c>
      <c r="C58" s="29" t="n">
        <v>58.9</v>
      </c>
      <c r="D58" s="29" t="n">
        <v>69.2</v>
      </c>
      <c r="E58" s="29" t="n">
        <v>68.5</v>
      </c>
      <c r="F58" s="29" t="n">
        <v>65.5</v>
      </c>
      <c r="K58" s="29" t="n">
        <v>54.3</v>
      </c>
      <c r="L58" s="29" t="n">
        <v>51.8</v>
      </c>
      <c r="M58" s="29" t="n">
        <v>60.7</v>
      </c>
      <c r="N58" s="29" t="n">
        <v>47.8</v>
      </c>
    </row>
    <row r="59">
      <c r="A59" s="3" t="inlineStr">
        <is>
          <t>Paris Elementary</t>
        </is>
      </c>
      <c r="B59" s="29" t="n">
        <v>48</v>
      </c>
      <c r="C59" s="29" t="n">
        <v>49.9</v>
      </c>
      <c r="D59" s="29" t="n">
        <v>59.4</v>
      </c>
      <c r="E59" s="29" t="n">
        <v>54.8</v>
      </c>
      <c r="F59" s="29" t="n">
        <v>69.59999999999999</v>
      </c>
      <c r="K59" s="29" t="n">
        <v>46.1</v>
      </c>
      <c r="L59" s="29" t="n">
        <v>45.9</v>
      </c>
      <c r="M59" s="29" t="n">
        <v>40.7</v>
      </c>
      <c r="N59" s="29"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6">
        <f>B13-B14</f>
        <v/>
      </c>
    </row>
    <row r="16">
      <c r="A16" s="3" t="inlineStr">
        <is>
          <t>NMES students needing seats on closure</t>
        </is>
      </c>
      <c r="B16" s="25">
        <f>Assumptions!B11</f>
        <v/>
      </c>
    </row>
    <row r="17">
      <c r="A17" s="3" t="inlineStr">
        <is>
          <t>Shortfall if closure proceeds today</t>
        </is>
      </c>
      <c r="B17" s="26">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26">
        <f>D30+D31</f>
        <v/>
      </c>
    </row>
    <row r="34">
      <c r="A34" s="3" t="inlineStr">
        <is>
          <t>NMES fill rate even at the draft's own 154 rating</t>
        </is>
      </c>
      <c r="B34" s="39">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26">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17" t="inlineStr">
        <is>
          <t>School</t>
        </is>
      </c>
      <c r="B66" s="17" t="inlineStr">
        <is>
          <t>Oct 2023 report</t>
        </is>
      </c>
      <c r="C66" s="17" t="inlineStr">
        <is>
          <t>Oct 2025 report</t>
        </is>
      </c>
      <c r="D66" s="17" t="inlineStr">
        <is>
          <t>Jul 2026 report</t>
        </is>
      </c>
      <c r="E66" s="17" t="inlineStr">
        <is>
          <t>4-yr needs (Jul 2026)</t>
        </is>
      </c>
      <c r="F66" s="17" t="inlineStr">
        <is>
          <t>Replacement value (Jul 2026)</t>
        </is>
      </c>
    </row>
    <row r="67">
      <c r="A67" s="3" t="inlineStr">
        <is>
          <t>Bourbon Central Elementary (1988)</t>
        </is>
      </c>
      <c r="B67" s="40" t="n">
        <v>0.887637</v>
      </c>
      <c r="C67" s="40" t="n">
        <v>0.819273</v>
      </c>
      <c r="D67" s="40" t="n">
        <v>0.823017</v>
      </c>
      <c r="E67" s="8" t="n">
        <v>4006243.38</v>
      </c>
      <c r="F67" s="8" t="n">
        <v>22636266.8</v>
      </c>
    </row>
    <row r="68">
      <c r="A68" s="3" t="inlineStr">
        <is>
          <t>Cane Ridge Elementary (1992)</t>
        </is>
      </c>
      <c r="B68" s="40" t="n">
        <v>0.8120579999999999</v>
      </c>
      <c r="C68" s="40" t="n">
        <v>0.811765</v>
      </c>
      <c r="D68" s="40" t="n">
        <v>0.728249</v>
      </c>
      <c r="E68" s="8" t="n">
        <v>4796308</v>
      </c>
      <c r="F68" s="8" t="n">
        <v>17649638.79</v>
      </c>
    </row>
    <row r="69">
      <c r="A69" s="3" t="inlineStr">
        <is>
          <t>North Middletown Elementary (1948/64)</t>
        </is>
      </c>
      <c r="B69" s="40" t="n">
        <v>0.694064</v>
      </c>
      <c r="C69" s="40" t="n">
        <v>0.702133</v>
      </c>
      <c r="D69" s="40" t="n">
        <v>0.773295</v>
      </c>
      <c r="E69" s="8" t="n">
        <v>3099147.93</v>
      </c>
      <c r="F69" s="8" t="n">
        <v>13670417.6</v>
      </c>
    </row>
    <row r="70">
      <c r="A70" s="3" t="inlineStr">
        <is>
          <t>Bourbon County Middle School (1948)</t>
        </is>
      </c>
      <c r="B70" s="40" t="n">
        <v>0.726249</v>
      </c>
      <c r="C70" s="40" t="n">
        <v>0.727501</v>
      </c>
      <c r="D70" s="40" t="n">
        <v>0.596145</v>
      </c>
      <c r="E70" s="8" t="n">
        <v>12167086.72</v>
      </c>
      <c r="F70" s="8" t="n">
        <v>30127350</v>
      </c>
    </row>
    <row r="71">
      <c r="A71" s="3" t="inlineStr">
        <is>
          <t>Bourbon County High School (1968)</t>
        </is>
      </c>
      <c r="B71" s="40" t="n">
        <v>0.809819</v>
      </c>
      <c r="C71" s="40" t="n">
        <v>0.802057</v>
      </c>
      <c r="D71" s="40" t="n">
        <v>0.792529</v>
      </c>
      <c r="E71" s="8" t="n">
        <v>10251532.33</v>
      </c>
      <c r="F71" s="8" t="n">
        <v>49411909.14</v>
      </c>
    </row>
    <row r="72">
      <c r="A72" s="3" t="inlineStr">
        <is>
          <t>Check: Condition Index = 1 - (4-year renewal needs / replacement value), NMES</t>
        </is>
      </c>
      <c r="B72" s="41">
        <f>1-E69/F69</f>
        <v/>
      </c>
    </row>
    <row r="73">
      <c r="A73" s="3" t="inlineStr">
        <is>
          <t>NMES change between inspection cycles (2020-21 to April 2026)</t>
        </is>
      </c>
      <c r="B73" s="41">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9">
        <f>84/163</f>
        <v/>
      </c>
    </row>
    <row r="11">
      <c r="A11" s="3" t="inlineStr">
        <is>
          <t>Closures most like this plan (single small elementary, nothing built): count / median saving</t>
        </is>
      </c>
      <c r="B11" s="10" t="n">
        <v>37</v>
      </c>
      <c r="C11" s="10" t="n">
        <v>0</v>
      </c>
    </row>
    <row r="13">
      <c r="A13" s="4" t="inlineStr">
        <is>
          <t>THE DOLLAR TEST: BUDGET GAP VS STATE TREND, CREDITED ENTIRELY TO THE CLOSURE (A GENEROUS CEILING), PER DISPLACED STUDENT</t>
        </is>
      </c>
    </row>
    <row r="14">
      <c r="A14" s="17" t="inlineStr">
        <is>
          <t>Case</t>
        </is>
      </c>
      <c r="B14" s="17" t="inlineStr">
        <is>
          <t>Closed</t>
        </is>
      </c>
      <c r="C14" s="17" t="inlineStr">
        <is>
          <t>Students displaced</t>
        </is>
      </c>
      <c r="D14" s="17" t="inlineStr">
        <is>
          <t>Spending, year before</t>
        </is>
      </c>
      <c r="E14" s="17" t="inlineStr">
        <is>
          <t>Spending, 3 yrs after</t>
        </is>
      </c>
      <c r="F14" s="17" t="inlineStr">
        <is>
          <t>State growth</t>
        </is>
      </c>
      <c r="G14" s="17" t="inlineStr">
        <is>
          <t>Counterfactual</t>
        </is>
      </c>
      <c r="H14" s="17" t="inlineStr">
        <is>
          <t>Gap per year</t>
        </is>
      </c>
      <c r="I14" s="17" t="inlineStr">
        <is>
          <t>Gap per student</t>
        </is>
      </c>
      <c r="J14" s="17" t="inlineStr">
        <is>
          <t>Note</t>
        </is>
      </c>
    </row>
    <row r="15">
      <c r="A15" s="3" t="inlineStr">
        <is>
          <t>Perry County</t>
        </is>
      </c>
      <c r="B15" s="10" t="n">
        <v>2017</v>
      </c>
      <c r="C15" s="10" t="n">
        <v>825</v>
      </c>
      <c r="D15" s="8" t="n">
        <v>42356000</v>
      </c>
      <c r="E15" s="8" t="n">
        <v>44953000</v>
      </c>
      <c r="F15" s="13" t="n">
        <v>0.1323</v>
      </c>
      <c r="G15" s="9">
        <f>D15*(1+F15)</f>
        <v/>
      </c>
      <c r="H15" s="9">
        <f>G15-E15</f>
        <v/>
      </c>
      <c r="I15" s="23">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23">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23">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23">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23">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23">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23">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23">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23">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23">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23">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23">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23">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23">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23">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23">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23">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23">
        <f>800000/Assumptions!B11</f>
        <v/>
      </c>
      <c r="C34" s="23">
        <f>1000000/Assumptions!B11</f>
        <v/>
      </c>
    </row>
    <row r="35">
      <c r="A35" s="3" t="inlineStr">
        <is>
          <t>This report's own model, per displaced student: median / central / best case</t>
        </is>
      </c>
      <c r="B35" s="9">
        <f>-21971/Assumptions!B11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6" t="n">
        <v>0.4</v>
      </c>
      <c r="C41" s="36"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23">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29" t="n">
        <v>-2</v>
      </c>
      <c r="C49" s="29"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6"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17" t="inlineStr">
        <is>
          <t>Year</t>
        </is>
      </c>
      <c r="B5" s="17" t="inlineStr">
        <is>
          <t>Members</t>
        </is>
      </c>
      <c r="C5" s="17" t="inlineStr">
        <is>
          <t>Local</t>
        </is>
      </c>
      <c r="D5" s="17" t="inlineStr">
        <is>
          <t>State</t>
        </is>
      </c>
      <c r="E5" s="17" t="inlineStr">
        <is>
          <t>Federal</t>
        </is>
      </c>
      <c r="F5" s="17"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23">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42">
        <f>B15/B17</f>
        <v/>
      </c>
      <c r="G18" s="21" t="inlineStr">
        <is>
          <t>298 students. Per SEEK AADA (2,490) instead of members: 303. The 300 sits between the two bases.</t>
        </is>
      </c>
    </row>
    <row r="19">
      <c r="A19" s="3" t="inlineStr">
        <is>
          <t>Same fraction with matching definitions: all-in cost / total revenue per member (2023-24)</t>
        </is>
      </c>
      <c r="B19" s="20">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17" t="inlineStr">
        <is>
          <t>School</t>
        </is>
      </c>
      <c r="B22" s="17" t="inlineStr">
        <is>
          <t>Cost/pupil</t>
        </is>
      </c>
      <c r="C22" s="17" t="inlineStr">
        <is>
          <t>Enrolled</t>
        </is>
      </c>
      <c r="D22" s="17" t="inlineStr">
        <is>
          <t>Breakeven N</t>
        </is>
      </c>
      <c r="E22" s="17" t="inlineStr">
        <is>
          <t>Short by</t>
        </is>
      </c>
    </row>
    <row r="23">
      <c r="A23" s="3" t="inlineStr">
        <is>
          <t>North Middletown</t>
        </is>
      </c>
      <c r="B23" s="8" t="n">
        <v>19348</v>
      </c>
      <c r="C23" s="10" t="n">
        <v>128</v>
      </c>
      <c r="D23" s="27">
        <f>B23*C23/F$10</f>
        <v/>
      </c>
      <c r="E23" s="27">
        <f>D23-C23</f>
        <v/>
      </c>
    </row>
    <row r="24">
      <c r="A24" s="3" t="inlineStr">
        <is>
          <t>Bourbon Central</t>
        </is>
      </c>
      <c r="B24" s="8" t="n">
        <v>18131</v>
      </c>
      <c r="C24" s="10" t="n">
        <v>459</v>
      </c>
      <c r="D24" s="27">
        <f>B24*C24/F$10</f>
        <v/>
      </c>
      <c r="E24" s="27">
        <f>D24-C24</f>
        <v/>
      </c>
    </row>
    <row r="25">
      <c r="A25" s="3" t="inlineStr">
        <is>
          <t>Cane Ridge</t>
        </is>
      </c>
      <c r="B25" s="8" t="n">
        <v>18670</v>
      </c>
      <c r="C25" s="10" t="n">
        <v>453</v>
      </c>
      <c r="D25" s="27">
        <f>B25*C25/F$10</f>
        <v/>
      </c>
      <c r="E25" s="27">
        <f>D25-C25</f>
        <v/>
      </c>
    </row>
    <row r="26">
      <c r="A26" s="3" t="inlineStr">
        <is>
          <t>Bourbon Co Middle</t>
        </is>
      </c>
      <c r="B26" s="8" t="n">
        <v>16673</v>
      </c>
      <c r="C26" s="10" t="n">
        <v>590</v>
      </c>
      <c r="D26" s="27">
        <f>B26*C26/F$10</f>
        <v/>
      </c>
      <c r="E26" s="27">
        <f>D26-C26</f>
        <v/>
      </c>
    </row>
    <row r="27">
      <c r="A27" s="3" t="inlineStr">
        <is>
          <t>Bourbon Co High</t>
        </is>
      </c>
      <c r="B27" s="8" t="n">
        <v>17404</v>
      </c>
      <c r="C27" s="10" t="n">
        <v>766</v>
      </c>
      <c r="D27" s="27">
        <f>B27*C27/F$10</f>
        <v/>
      </c>
      <c r="E27" s="27">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17" t="inlineStr">
        <is>
          <t>School</t>
        </is>
      </c>
      <c r="B31" s="17" t="inlineStr">
        <is>
          <t>Fixed base</t>
        </is>
      </c>
      <c r="C31" s="17" t="inlineStr">
        <is>
          <t>N (SEEK only)</t>
        </is>
      </c>
      <c r="D31" s="17" t="inlineStr">
        <is>
          <t>N if fed counted</t>
        </is>
      </c>
      <c r="E31" s="17" t="inlineStr">
        <is>
          <t>Enrolled</t>
        </is>
      </c>
    </row>
    <row r="32">
      <c r="A32" s="3" t="inlineStr">
        <is>
          <t>North Middletown</t>
        </is>
      </c>
      <c r="B32" s="18">
        <f>Assumptions!B51+Assumptions!B52</f>
        <v/>
      </c>
      <c r="C32" s="27">
        <f>B32/(Assumptions!B6-Assumptions!B62)</f>
        <v/>
      </c>
      <c r="D32" s="27">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27">
        <f>B33/(Assumptions!B6-Assumptions!B62)</f>
        <v/>
      </c>
      <c r="D33" s="27">
        <f>B33/(Assumptions!B6+3380-Assumptions!B62)</f>
        <v/>
      </c>
      <c r="E33" s="10" t="n">
        <v>453</v>
      </c>
    </row>
    <row r="34">
      <c r="A34" s="3" t="inlineStr">
        <is>
          <t>Bourbon Central</t>
        </is>
      </c>
      <c r="B34" s="9">
        <f>Assumptions!B51+Assumptions!B52*Facility_Plans!F67/Facility_Plans!F69</f>
        <v/>
      </c>
      <c r="C34" s="27">
        <f>B34/(Assumptions!B6-Assumptions!B62)</f>
        <v/>
      </c>
      <c r="D34" s="27">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17" t="inlineStr">
        <is>
          <t>Year</t>
        </is>
      </c>
      <c r="B38" s="17" t="inlineStr">
        <is>
          <t>NMES</t>
        </is>
      </c>
      <c r="C38" s="17" t="inlineStr">
        <is>
          <t>NMES members</t>
        </is>
      </c>
      <c r="D38" s="17" t="inlineStr">
        <is>
          <t>BCES</t>
        </is>
      </c>
      <c r="E38" s="17" t="inlineStr">
        <is>
          <t>Cane Ridge</t>
        </is>
      </c>
      <c r="F38" s="17" t="inlineStr">
        <is>
          <t>NMES vs BCES</t>
        </is>
      </c>
    </row>
    <row r="39">
      <c r="A39" s="3" t="inlineStr">
        <is>
          <t>2011-12</t>
        </is>
      </c>
      <c r="B39" s="8" t="n">
        <v>9715</v>
      </c>
      <c r="C39" s="10" t="n">
        <v>177</v>
      </c>
      <c r="D39" s="8" t="n">
        <v>7351</v>
      </c>
      <c r="E39" s="8" t="n">
        <v>7740</v>
      </c>
      <c r="F39" s="43">
        <f>B39/D39-1</f>
        <v/>
      </c>
    </row>
    <row r="40">
      <c r="A40" s="3" t="inlineStr">
        <is>
          <t>2012-13</t>
        </is>
      </c>
      <c r="B40" s="8" t="n">
        <v>19635</v>
      </c>
      <c r="C40" s="10" t="n">
        <v>158</v>
      </c>
      <c r="D40" s="8" t="n">
        <v>10281</v>
      </c>
      <c r="E40" s="8" t="n">
        <v>11383</v>
      </c>
      <c r="F40" s="43">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3">
        <f>B41/D41-1</f>
        <v/>
      </c>
    </row>
    <row r="42">
      <c r="A42" s="3" t="inlineStr">
        <is>
          <t>2014-15</t>
        </is>
      </c>
      <c r="B42" s="8" t="n">
        <v>10999</v>
      </c>
      <c r="C42" s="10" t="n">
        <v>153</v>
      </c>
      <c r="D42" s="8" t="n">
        <v>8651</v>
      </c>
      <c r="E42" s="8" t="n">
        <v>9222</v>
      </c>
      <c r="F42" s="43">
        <f>B42/D42-1</f>
        <v/>
      </c>
    </row>
    <row r="43">
      <c r="A43" s="3" t="inlineStr">
        <is>
          <t>2015-16</t>
        </is>
      </c>
      <c r="B43" s="8" t="n">
        <v>11521</v>
      </c>
      <c r="C43" s="10" t="n">
        <v>149</v>
      </c>
      <c r="D43" s="8" t="n">
        <v>8705</v>
      </c>
      <c r="E43" s="8" t="n">
        <v>9655</v>
      </c>
      <c r="F43" s="43">
        <f>B43/D43-1</f>
        <v/>
      </c>
    </row>
    <row r="44">
      <c r="A44" s="3" t="inlineStr">
        <is>
          <t>2016-17</t>
        </is>
      </c>
      <c r="B44" s="8" t="n">
        <v>13260</v>
      </c>
      <c r="C44" s="10" t="n">
        <v>133</v>
      </c>
      <c r="D44" s="8" t="n">
        <v>9197</v>
      </c>
      <c r="E44" s="8" t="n">
        <v>9815</v>
      </c>
      <c r="F44" s="43">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17" t="inlineStr">
        <is>
          <t>School</t>
        </is>
      </c>
      <c r="B48" s="17" t="inlineStr">
        <is>
          <t>Students</t>
        </is>
      </c>
      <c r="C48" s="17" t="inlineStr">
        <is>
          <t>Reported $/student</t>
        </is>
      </c>
      <c r="D48" s="17" t="inlineStr">
        <is>
          <t>Curve prediction</t>
        </is>
      </c>
    </row>
    <row r="49">
      <c r="A49" s="3" t="inlineStr">
        <is>
          <t>Bourbon Central</t>
        </is>
      </c>
      <c r="B49" s="10" t="n">
        <v>595</v>
      </c>
      <c r="C49" s="8" t="n">
        <v>3360</v>
      </c>
      <c r="D49" s="9">
        <f>B$55+B$54*E49</f>
        <v/>
      </c>
      <c r="E49" s="44">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4">
        <f>1/B50</f>
        <v/>
      </c>
    </row>
    <row r="51">
      <c r="A51" s="3" t="inlineStr">
        <is>
          <t>North Middletown</t>
        </is>
      </c>
      <c r="B51" s="10" t="n">
        <v>193</v>
      </c>
      <c r="C51" s="8" t="n">
        <v>4414</v>
      </c>
      <c r="D51" s="9">
        <f>B$55+B$54*E51</f>
        <v/>
      </c>
      <c r="E51" s="44">
        <f>1/B51</f>
        <v/>
      </c>
    </row>
    <row r="52">
      <c r="A52" s="3" t="inlineStr">
        <is>
          <t>Millersburg</t>
        </is>
      </c>
      <c r="B52" s="10" t="n">
        <v>145</v>
      </c>
      <c r="C52" s="8" t="n">
        <v>5200</v>
      </c>
      <c r="D52" s="9">
        <f>B$55+B$54*E52</f>
        <v/>
      </c>
      <c r="E52" s="44">
        <f>1/B52</f>
        <v/>
      </c>
    </row>
    <row r="54">
      <c r="A54" s="3" t="inlineStr">
        <is>
          <t>Fixed base per building (least-squares slope on 1/N)</t>
        </is>
      </c>
      <c r="B54" s="23">
        <f>SLOPE(C49:C52,E49:E52)</f>
        <v/>
      </c>
    </row>
    <row r="55">
      <c r="A55" s="3" t="inlineStr">
        <is>
          <t>Variable cost per student (intercept)</t>
        </is>
      </c>
      <c r="B55" s="23">
        <f>INTERCEPT(C49:C52,E49:E52)</f>
        <v/>
      </c>
    </row>
    <row r="56">
      <c r="A56" s="3" t="inlineStr">
        <is>
          <t>Fit quality (R-squared)</t>
        </is>
      </c>
      <c r="B56" s="45">
        <f>RSQ(C49:C52,E49:E52)</f>
        <v/>
      </c>
    </row>
    <row r="58">
      <c r="A58" s="4" t="inlineStr">
        <is>
          <t>THE MILLERSBURG SYMMETRY: THE DISTRICT HAS RUN THIS EXPERIMENT</t>
        </is>
      </c>
    </row>
    <row r="59">
      <c r="A59" s="3" t="inlineStr">
        <is>
          <t>Millersburg premium over its receiving school, 2000-01 (per student x students)</t>
        </is>
      </c>
      <c r="B59" s="23">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23">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2026-08-02T18:52:18Z</dcterms:created>
  <dcterms:modified xmlns:dcterms="http://purl.org/dc/terms/" xmlns:xsi="http://www.w3.org/2001/XMLSchema-instance" xsi:type="dcterms:W3CDTF">2026-08-02T18:52:18Z</dcterms:modified>
</cp:coreProperties>
</file>