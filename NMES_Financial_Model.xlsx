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12).</t>
        </is>
      </c>
    </row>
    <row r="21">
      <c r="A21" s="2" t="inlineStr">
        <is>
          <t xml:space="preserve">  Tax rates, fund split, delinquency check, and the 4% three-year path: Tax_History tab (backs Figure 16).</t>
        </is>
      </c>
    </row>
    <row r="22">
      <c r="A22" s="2" t="inlineStr">
        <is>
          <t xml:space="preserve">  Boundary rebalancing and fill-to-capacity scenario: Redistricting tab (backs the Section 9 worked example and Figure 13).</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1"/>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row>
    <row r="75">
      <c r="A75" s="3" t="inlineStr">
        <is>
          <t>2019-20</t>
        </is>
      </c>
      <c r="B75" s="10" t="n">
        <v>166</v>
      </c>
      <c r="C75" s="8" t="n">
        <v>12903</v>
      </c>
      <c r="D75" s="8" t="n">
        <v>12159</v>
      </c>
      <c r="E75" s="8" t="n">
        <v>12168</v>
      </c>
      <c r="F75" s="9">
        <f>(C75*B75+(174-B75)*Assumptions!B62)/174</f>
        <v/>
      </c>
    </row>
    <row r="76">
      <c r="A76" s="3" t="inlineStr">
        <is>
          <t>2020-21</t>
        </is>
      </c>
      <c r="B76" s="10" t="n">
        <v>160</v>
      </c>
      <c r="C76" s="8" t="n">
        <v>15406</v>
      </c>
      <c r="D76" s="8" t="n">
        <v>14011</v>
      </c>
      <c r="E76" s="8" t="n">
        <v>14621</v>
      </c>
      <c r="F76" s="9">
        <f>(C76*B76+(174-B76)*Assumptions!B62)/174</f>
        <v/>
      </c>
    </row>
    <row r="77">
      <c r="A77" s="3" t="inlineStr">
        <is>
          <t>2021-22</t>
        </is>
      </c>
      <c r="B77" s="10" t="n">
        <v>146</v>
      </c>
      <c r="C77" s="8" t="n">
        <v>19080</v>
      </c>
      <c r="D77" s="8" t="n">
        <v>15619</v>
      </c>
      <c r="E77" s="8" t="n">
        <v>16137</v>
      </c>
      <c r="F77" s="9">
        <f>(C77*B77+(174-B77)*Assumptions!B62)/174</f>
        <v/>
      </c>
    </row>
    <row r="78">
      <c r="A78" s="3" t="inlineStr">
        <is>
          <t>2022-23</t>
        </is>
      </c>
      <c r="B78" s="10" t="n">
        <v>144</v>
      </c>
      <c r="C78" s="8" t="n">
        <v>19003</v>
      </c>
      <c r="D78" s="8" t="n">
        <v>17410</v>
      </c>
      <c r="E78" s="8" t="n">
        <v>17403</v>
      </c>
      <c r="F78" s="9">
        <f>(C78*B78+(174-B78)*Assumptions!B62)/174</f>
        <v/>
      </c>
    </row>
    <row r="79">
      <c r="A79" s="3" t="inlineStr">
        <is>
          <t>2023-24</t>
        </is>
      </c>
      <c r="B79" s="10" t="n">
        <v>128</v>
      </c>
      <c r="C79" s="8" t="n">
        <v>19348</v>
      </c>
      <c r="D79" s="8" t="n">
        <v>18131</v>
      </c>
      <c r="E79" s="8" t="n">
        <v>18670</v>
      </c>
      <c r="F79" s="9">
        <f>(C79*B79+(174-B79)*Assumptions!B62)/174</f>
        <v/>
      </c>
    </row>
    <row r="81">
      <c r="A81" s="21" t="inlineStr">
        <is>
          <t>The counterfactual column is below both receiving schools in every year on record. NMES's total site spending grew 16 percent over the five years, against 37 percent at Bourbon Central and 47 percent at Cane Ridge; only the divisor changed.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12)</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12)</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2026-07-25T14:58:29Z</dcterms:created>
  <dcterms:modified xsi:type="dcterms:W3CDTF">2026-07-25T14:58:29Z</dcterms:modified>
</cp:coreProperties>
</file>