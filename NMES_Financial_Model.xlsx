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Enacted: 2026 Ky. Acts ch. 168 (HB 500), p. 20, archived in build/; an interim v5.0 draft wrongly moved this to $4,636; corrected here</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f> $127,039 kept, plus half the fixed overhead positions ($107,052, Closure_Model C40) and three teachers at $54,479.40, minus $63,000 of busing, minus the statistical median of 136 missing students at $5,126 less the $400 supplies credit: the published -$308,207, the 82nd percentile of the 972-scenario grid; the weighted median is a $427,087 loss (Closure_Model row 50)</f>
        <v/>
      </c>
    </row>
    <row r="35">
      <c r="A35" s="3" t="inlineStr">
        <is>
          <t>Growth default: 30 added students at the grid's low busing and supplies</t>
        </is>
      </c>
      <c r="B35" s="19">
        <f>30*(Assumptions!B6+500-400)</f>
        <v/>
      </c>
      <c r="F35" s="21" t="inlineStr">
        <is>
          <t>The published +$141,780 is the grid's weighted median itself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$427,087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approximately the SEEK base guarantee, and more with the formula's weights, every year, permanently. SEEK pays on prior-year average daily attendance (about 91 percent of end-of-year enrollment here); the mostly uncounted at-risk, exceptional-child, language, and transportation weights are worth more than that haircut.</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The at-risk weight alone carries the central leg: 15% of base per free-lunch child, about $500 per average student at a ~72% FRL school; exceptional-child, language, and prorated transportation weights sit above it, mostly uncounted</t>
        </is>
      </c>
    </row>
    <row r="47">
      <c r="A47" s="3" t="inlineStr">
        <is>
          <t>Central case: net yearly effect</t>
        </is>
      </c>
      <c r="B47" s="19">
        <f>C39+C40+C41*54479.4-C42-C43*(Assumptions!B6+C44-Assumptions!B62)</f>
        <v/>
      </c>
      <c r="C47" s="2" t="inlineStr">
        <is>
          <t>-$409,446: the central case itself loses money, about 16 percent of the structural deficit added, not removed</t>
        </is>
      </c>
    </row>
    <row r="48">
      <c r="A48" s="3" t="inlineStr">
        <is>
          <t>Unfavorable tail (all levers adverse)</t>
        </is>
      </c>
      <c r="B48" s="9">
        <f>B39+B40+B41*54479.4-D42-D43*(Assumptions!B6+D44-Assumptions!B62)</f>
        <v/>
      </c>
      <c r="C48" s="2" t="inlineStr">
        <is>
          <t>-$846,285 a year: the closure loses money</t>
        </is>
      </c>
    </row>
    <row r="49">
      <c r="A49" s="3" t="inlineStr">
        <is>
          <t>Favorable tail (all levers favorable)</t>
        </is>
      </c>
      <c r="B49" s="9">
        <f>D39+D40+D41*54479.4-B42-B43*(Assumptions!B6+B44-Assumptions!B62)</f>
        <v/>
      </c>
      <c r="C49" s="2" t="inlineStr">
        <is>
          <t>-$9,860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$4,626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kept as hard evidence below every priced leg. v5.0 lever weights: triangular 1-2-1 on every three-leg lever, uniform on teachers. Weighted median -$427,087 (the median scenario LOSES money); middle half -$518,405 to -$338,727; EVERY weighted scenario is negative, the best case still loses $9,860; range -$846,285 to -$9,860 (unweighted median -$425,053).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(SAAR 2025-26 end-of-year count; the 2024-25 count of 128 anchors the capacity and cost comparisons)</t>
        </is>
      </c>
      <c r="B8" s="10" t="n">
        <v>115</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115</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which is also the site default (30 students at $4,726);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115 arriving students trigger the same class caps at the receiving schools, adding sections in several grades, which is exactly why the closure's net effect runs minus $846,285 to minus $9,860 with a weighted median of minus $427,087,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-$427,087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(-$409,446); the weighted median loses $427,087</t>
        </is>
      </c>
    </row>
    <row r="47">
      <c r="A47" s="3" t="inlineStr">
        <is>
          <t>Closure model median (v5.0 weighted grid)</t>
        </is>
      </c>
      <c r="B47" s="8" t="n">
        <v>-427087</v>
      </c>
      <c r="C47" s="9">
        <f>B47*(1-(1+B$40)^-B$41)/B$40</f>
        <v/>
      </c>
      <c r="F47" s="21" t="inlineStr">
        <is>
          <t>Closure_Model tab, 972-combination grid; the median scenario loses money</t>
        </is>
      </c>
    </row>
    <row r="48">
      <c r="A48" s="3" t="inlineStr">
        <is>
          <t>Closure model best case (favorable tail)</t>
        </is>
      </c>
      <c r="B48" s="8" t="n">
        <v>-9860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-$9,860 best case drains reserves faster than status quo, the -$427,087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-427087</v>
      </c>
      <c r="C6" s="9">
        <f>Runway!E7</f>
        <v/>
      </c>
      <c r="D6" s="2" t="inlineStr">
        <is>
          <t>Unpublished</t>
        </is>
      </c>
      <c r="E6" s="2" t="inlineStr">
        <is>
          <t>Closure vote; the weighted median LOSES $427,087 a year (B6 is the grid median; the legacy single-point Closure_Model!B20 is superseded); the grid central case itself loses $409,446, and even the best-case tail still loses $9,860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115 students displaced, the 2025-26 end-of-year count)</t>
        </is>
      </c>
      <c r="B34" s="19">
        <f>800000/Exodus_Model!B8</f>
        <v/>
      </c>
      <c r="C34" s="19">
        <f>1000000/Exodus_Model!B8</f>
        <v/>
      </c>
    </row>
    <row r="35">
      <c r="A35" s="3" t="inlineStr">
        <is>
          <t>This report's own model, per displaced student: median / central / best case</t>
        </is>
      </c>
      <c r="B35" s="9">
        <f>-427087/Exodus_Model!B8</f>
        <v/>
      </c>
      <c r="C35" s="9">
        <f>Closure_Model!B47/Exodus_Model!B8</f>
        <v/>
      </c>
      <c r="D35" s="9">
        <f>Closure_Model!B49/Exodus_Model!B8</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$6,957-$8,696 requirement.</t>
        </is>
      </c>
      <c r="B44" s="8" t="n">
        <v>818</v>
      </c>
      <c r="C44" s="19">
        <f>Closure_Model!B47/Exodus_Model!B8</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2026-08-18T03:22:57Z</dcterms:created>
  <dcterms:modified xmlns:dcterms="http://purl.org/dc/terms/" xmlns:xsi="http://www.w3.org/2001/XMLSchema-instance" xsi:type="dcterms:W3CDTF">2026-08-18T03:22:57Z</dcterms:modified>
</cp:coreProperties>
</file>