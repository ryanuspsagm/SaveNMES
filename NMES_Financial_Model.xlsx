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Scenarios" sheetId="11" state="visible" r:id="rId11"/>
    <sheet name="Tax_History" sheetId="12" state="visible" r:id="rId12"/>
    <sheet name="Demographics" sheetId="13" state="visible" r:id="rId13"/>
    <sheet name="School_Data" sheetId="14" state="visible" r:id="rId14"/>
    <sheet name="Facility_Plans" sheetId="15" state="visible" r:id="rId15"/>
  </sheets>
  <definedNames/>
  <calcPr calcId="124519" fullCalcOnLoad="1"/>
</workbook>
</file>

<file path=xl/styles.xml><?xml version="1.0" encoding="utf-8"?>
<styleSheet xmlns="http://schemas.openxmlformats.org/spreadsheetml/2006/main">
  <numFmts count="4">
    <numFmt numFmtId="164" formatCode="$#,##0;($#,##0);&quot;-&quot;"/>
    <numFmt numFmtId="165" formatCode="#,##0;(#,##0);&quot;-&quot;"/>
    <numFmt numFmtId="166" formatCode="0.0%"/>
    <numFmt numFmtId="167" formatCode="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7" fontId="7" fillId="3" borderId="0" pivotButton="0" quotePrefix="0" xfId="0"/>
    <xf numFmtId="165" fontId="8" fillId="0" borderId="0" pivotButton="0" quotePrefix="0" xfId="0"/>
    <xf numFmtId="166"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11).</t>
        </is>
      </c>
    </row>
    <row r="21">
      <c r="A21" s="2" t="inlineStr">
        <is>
          <t xml:space="preserve">  Tax rates, fund split, delinquency check, and the 4% three-year path: Tax_History tab (backs Figure 15).</t>
        </is>
      </c>
    </row>
    <row r="22">
      <c r="A22" s="2" t="inlineStr">
        <is>
          <t xml:space="preserve">  Boundary rebalancing and fill-to-capacity scenario: Redistricting tab (backs the Section 9 worked example and Figure 12).</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7"/>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assumes building sold or repurposed</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5"/>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t>
        </is>
      </c>
      <c r="B12" s="18">
        <f>Assumptions!B53*Assumptions!B41</f>
        <v/>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DISTRICT-FAVORABLE CASE (red-team): 5 positions cut, low busing, no departures</t>
        </is>
      </c>
    </row>
    <row r="34">
      <c r="A34" s="3" t="inlineStr">
        <is>
          <t>Net recurring saving, favorable case</t>
        </is>
      </c>
      <c r="B34" s="18">
        <f>Assumptions!B51+Assumptions!B52+Assumptions!B66*Assumptions!B41-Assumptions!B67</f>
        <v/>
      </c>
    </row>
    <row r="35">
      <c r="A35" s="3" t="inlineStr">
        <is>
          <t>Share of the structural deficit ($2.65M) | of the reserve drawdown ($1.15M)</t>
        </is>
      </c>
      <c r="B35" s="19">
        <f>B34/(Assumptions!B24-Assumptions!B21)</f>
        <v/>
      </c>
      <c r="C35" s="19">
        <f>B34/GF_Summary!D16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3"/>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t>
        </is>
      </c>
      <c r="B30" s="24">
        <f>B26-B27+B28*Assumptions!B41</f>
        <v/>
      </c>
    </row>
    <row r="31">
      <c r="A31" s="22" t="inlineStr">
        <is>
          <t>Net recurring benefit, high</t>
        </is>
      </c>
      <c r="B31" s="23">
        <f>B26-B27+B29*Assumptions!B41</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6">
        <f>B5*B9</f>
        <v/>
      </c>
    </row>
    <row r="11">
      <c r="A11" s="3" t="inlineStr">
        <is>
          <t>Paris-area zones (sq mi)</t>
        </is>
      </c>
      <c r="B11" s="26">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7" t="n">
        <v>2.5</v>
      </c>
      <c r="C27" s="2" t="inlineStr">
        <is>
          <t>Fuel, maintenance, driver time; replace with district cost data</t>
        </is>
      </c>
    </row>
    <row r="28">
      <c r="A28" s="3" t="inlineStr">
        <is>
          <t>Marginal cost per bus-mile, high</t>
        </is>
      </c>
      <c r="B28" s="27"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8"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8" t="n">
        <v>8.871</v>
      </c>
      <c r="C55" s="2" t="inlineStr">
        <is>
          <t>Great-circle between the school points; unrounded so derived cells match build/zone_distances.json</t>
        </is>
      </c>
    </row>
    <row r="56">
      <c r="A56" s="3" t="inlineStr">
        <is>
          <t>Measured road distance, US 460 (miles)</t>
        </is>
      </c>
      <c r="B56" s="28" t="n">
        <v>10</v>
      </c>
      <c r="C56" s="2" t="inlineStr">
        <is>
          <t>The one pair that can be measured exactly</t>
        </is>
      </c>
    </row>
    <row r="57">
      <c r="A57" s="3" t="inlineStr">
        <is>
          <t>Implied road factor on the measured pair</t>
        </is>
      </c>
      <c r="B57" s="29">
        <f>B56/B55</f>
        <v/>
      </c>
    </row>
    <row r="58">
      <c r="A58" s="3" t="inlineStr">
        <is>
          <t>Road factor applied elsewhere (the measured US 460 pair implies 1.13)</t>
        </is>
      </c>
      <c r="B58" s="27" t="n">
        <v>1.2</v>
      </c>
    </row>
    <row r="59">
      <c r="A59" s="3" t="inlineStr">
        <is>
          <t>Area-average added distance under closure, one way, straight-line</t>
        </is>
      </c>
      <c r="B59" s="28"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8" t="n">
        <v>15.1</v>
      </c>
      <c r="C61" s="2" t="inlineStr">
        <is>
          <t>8.3 miles to NMES; near the Nicholas County line</t>
        </is>
      </c>
    </row>
    <row r="62">
      <c r="A62" s="3" t="inlineStr">
        <is>
          <t>Farthest corner by road: to Paris / to NMES (miles)</t>
        </is>
      </c>
      <c r="B62" s="26">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4"/>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22" t="inlineStr">
        <is>
          <t>Total identified (ranges overlap; not additive to the penny)</t>
        </is>
      </c>
      <c r="B14" s="24">
        <f>SUM(B4:B13)</f>
        <v/>
      </c>
      <c r="C14" s="24">
        <f>SUM(C4:C13)</f>
        <v/>
      </c>
    </row>
    <row r="16">
      <c r="A16" s="4" t="inlineStr">
        <is>
          <t>COMPARISON</t>
        </is>
      </c>
    </row>
    <row r="17">
      <c r="A17" s="3" t="inlineStr">
        <is>
          <t>Package midpoint (raw sum of ranges)</t>
        </is>
      </c>
      <c r="B17" s="9">
        <f>(B14+C14)/2</f>
        <v/>
      </c>
    </row>
    <row r="18">
      <c r="A18" s="3" t="inlineStr">
        <is>
          <t>Conservative combined estimate, low (haircut for overlap)</t>
        </is>
      </c>
      <c r="B18" s="14" t="n">
        <v>1100000</v>
      </c>
    </row>
    <row r="19">
      <c r="A19" s="3" t="inlineStr">
        <is>
          <t>Conservative combined estimate, high</t>
        </is>
      </c>
      <c r="B19" s="14" t="n">
        <v>2100000</v>
      </c>
    </row>
    <row r="20">
      <c r="A20" s="3" t="inlineStr">
        <is>
          <t>Conservative midpoint (used in Runway sheet)</t>
        </is>
      </c>
      <c r="B20" s="9">
        <f>(B18+B19)/2</f>
        <v/>
      </c>
    </row>
    <row r="21">
      <c r="A21" s="3" t="inlineStr">
        <is>
          <t>Average annual GF drawdown (FY2024-25)</t>
        </is>
      </c>
      <c r="B21" s="18">
        <f>GF_Summary!D16</f>
        <v/>
      </c>
    </row>
    <row r="22">
      <c r="A22" s="3" t="inlineStr">
        <is>
          <t>Closure net saving (base case)</t>
        </is>
      </c>
      <c r="B22" s="18">
        <f>Closure_Model!B20</f>
        <v/>
      </c>
    </row>
    <row r="24">
      <c r="A24" s="21" t="inlineStr">
        <is>
          <t>Reading: raw row sums run about $1.6M to $2.8M; the published $1.1M to $2.1M band applies a conservative haircut for overlap and implementation risk. Coverage is reported against both yardsticks: the $2.65M structural gap before transfers and the roughly $1.15M net drawdown after transfers (Closure_Model rows 21 and 35 carry both for closure).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9"/>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8"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0">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1" t="n">
        <v>20</v>
      </c>
    </row>
    <row r="42">
      <c r="A42" s="3" t="inlineStr">
        <is>
          <t>Annual debt service on the proposed bond</t>
        </is>
      </c>
      <c r="B42" s="30">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Matches the closure model's worst case</t>
        </is>
      </c>
    </row>
    <row r="47">
      <c r="A47" s="3" t="inlineStr">
        <is>
          <t>Closure model default net saving</t>
        </is>
      </c>
      <c r="B47" s="8" t="n">
        <v>361240</v>
      </c>
      <c r="C47" s="9">
        <f>B47*(1-(1+B$40)^-B$41)/B$40</f>
        <v/>
      </c>
      <c r="F47" s="21" t="inlineStr">
        <is>
          <t>Closure_Model tab</t>
        </is>
      </c>
    </row>
    <row r="48">
      <c r="A48" s="3" t="inlineStr">
        <is>
          <t>Closure model best case</t>
        </is>
      </c>
      <c r="B48" s="8" t="n">
        <v>725000</v>
      </c>
      <c r="C48" s="9">
        <f>B48*(1-(1+B$40)^-B$41)/B$40</f>
        <v/>
      </c>
      <c r="F48" s="21" t="inlineStr">
        <is>
          <t>Closure_Model tab</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status: ALREADY LEVIED August 17, 2023, inside the existing rate</t>
        </is>
      </c>
      <c r="B66" s="2" t="inlineStr">
        <is>
          <t>levied</t>
        </is>
      </c>
      <c r="F66" s="21" t="inlineStr">
        <is>
          <t>KDE Nickel Levy Chart (March 2024) dates Bourbon's recallable levy 8/17/2023; KDE's levied-rates file (April 30, 2026) decomposes the 52.4-cent rate as 41.0 general fund + 5.7 FSPK + 5.7 recallable. Paris Independent, for scale: 71.5 cents with 17.4 recallable</t>
        </is>
      </c>
    </row>
    <row r="67">
      <c r="A67" s="3" t="inlineStr">
        <is>
          <t>New annual state equalization on the recallable nickel (full value, FY2027 schedule)</t>
        </is>
      </c>
      <c r="B67" s="8" t="n">
        <v>276246</v>
      </c>
      <c r="F67" s="21" t="inlineStr">
        <is>
          <t>Phasing in on KDE SEEK schedules: $82,866 FY2025, $55,515 FY2026, $276,246 FY2027. New restricted revenue, no board action required</t>
        </is>
      </c>
    </row>
    <row r="68">
      <c r="A68" s="3" t="inlineStr">
        <is>
          <t>Bonds the new equalization alone supports</t>
        </is>
      </c>
      <c r="B68" s="9">
        <f>B67*(1-(1+B40)^-B41)/B40</f>
        <v/>
      </c>
      <c r="F68" s="21" t="inlineStr">
        <is>
          <t>Additive to the FY2024 audit's bonding potential, which predates the equalization</t>
        </is>
      </c>
    </row>
    <row r="69">
      <c r="A69" s="3" t="inlineStr">
        <is>
          <t>SFCC offers of assistance, typical cycle</t>
        </is>
      </c>
      <c r="B69" s="8" t="n">
        <v>1750000</v>
      </c>
      <c r="F69" s="21" t="inlineStr">
        <is>
          <t>State already pays $1,568,809 of current principal</t>
        </is>
      </c>
    </row>
    <row r="71">
      <c r="A71" s="4" t="inlineStr">
        <is>
          <t>FY2026 YEAR-END, DISTRICT'S OWN KDE BUDGET MONITORING TOOL (UNAUDITED)</t>
        </is>
      </c>
    </row>
    <row r="72">
      <c r="A72" s="2" t="inlineStr">
        <is>
          <t>June 2026 financial packet, board agenda July 16, 2026; MUNIS run July 15, 2026. Audit will finalize these figures.</t>
        </is>
      </c>
    </row>
    <row r="73">
      <c r="A73" s="3" t="inlineStr">
        <is>
          <t>General Fund revenue, FY2026 actual (excludes carryforward and on-behalf)</t>
        </is>
      </c>
      <c r="B73" s="8" t="n">
        <v>22103877</v>
      </c>
    </row>
    <row r="74">
      <c r="A74" s="3" t="inlineStr">
        <is>
          <t>General Fund expenditures, FY2026 actual</t>
        </is>
      </c>
      <c r="B74" s="8" t="n">
        <v>22477866</v>
      </c>
    </row>
    <row r="75">
      <c r="A75" s="3" t="inlineStr">
        <is>
          <t>Net General Fund change, FY2026 (unaudited)</t>
        </is>
      </c>
      <c r="B75" s="30">
        <f>B73-B74</f>
        <v/>
      </c>
      <c r="F75" s="21" t="inlineStr">
        <is>
          <t>Compare net changes of -$1,065,657 in FY2024 and -$1,225,465 in FY2025 (audited)</t>
        </is>
      </c>
    </row>
    <row r="76">
      <c r="A76" s="3" t="inlineStr">
        <is>
          <t>Revenues over budget per the monitoring tool</t>
        </is>
      </c>
      <c r="B76" s="8" t="n">
        <v>2225835</v>
      </c>
    </row>
    <row r="77">
      <c r="A77" s="3" t="inlineStr">
        <is>
          <t>Salaries under budget per the monitoring tool</t>
        </is>
      </c>
      <c r="B77" s="8" t="n">
        <v>587592</v>
      </c>
    </row>
    <row r="78">
      <c r="A78" s="3" t="inlineStr">
        <is>
          <t>Salaries below FY2025 actuals</t>
        </is>
      </c>
      <c r="B78" s="8" t="n">
        <v>223974</v>
      </c>
    </row>
    <row r="79">
      <c r="A79" s="3" t="inlineStr">
        <is>
          <t>Caveat 1: miscellaneous revenue (object 1990) budgeted at zero, received</t>
        </is>
      </c>
      <c r="B79" s="8" t="n">
        <v>1567829</v>
      </c>
      <c r="F79" s="21" t="inlineStr">
        <is>
          <t>Unbudgeted even in the final amended budget; the district should identify this receipt on the record</t>
        </is>
      </c>
    </row>
    <row r="80">
      <c r="A80" s="3" t="inlineStr">
        <is>
          <t xml:space="preserve">  of which booked in June (period 12) alone</t>
        </is>
      </c>
      <c r="B80" s="8" t="n">
        <v>1413929</v>
      </c>
      <c r="F80" s="21" t="inlineStr">
        <is>
          <t>Months 1-11 produced $153,900 combined, a normal run rate; the balance sheet shows no receivable behind the June entry</t>
        </is>
      </c>
    </row>
    <row r="81">
      <c r="A81" s="3" t="inlineStr">
        <is>
          <t>Caveat 2: restricted capital money transferred INTO the General Fund in June 2026</t>
        </is>
      </c>
      <c r="B81" s="8" t="n">
        <v>1320939</v>
      </c>
      <c r="F81" s="21" t="inlineStr">
        <is>
          <t>Object 5210: $1,098,633 from the Building Fund (320) + $222,276 from Capital Outlay (310), which ended the year at $0. Lawful under budget-act capital funds flexibility; budgeted from September 2025</t>
        </is>
      </c>
    </row>
    <row r="82">
      <c r="A82" s="3" t="inlineStr">
        <is>
          <t>Net change excluding the capital transfer</t>
        </is>
      </c>
      <c r="B82" s="9">
        <f>B73-B74-B81</f>
        <v/>
      </c>
      <c r="F82" s="21" t="inlineStr">
        <is>
          <t>About -$1.69 million: the operating result on operating revenue alone</t>
        </is>
      </c>
    </row>
    <row r="83">
      <c r="A83" s="3" t="inlineStr">
        <is>
          <t>Net change excluding the transfer and the unidentified June receipt</t>
        </is>
      </c>
      <c r="B83" s="9">
        <f>B73-B74-B81-B80</f>
        <v/>
      </c>
      <c r="F83" s="21" t="inlineStr">
        <is>
          <t>About -$3.11 million: the same range as the audited years</t>
        </is>
      </c>
    </row>
    <row r="84">
      <c r="A84" s="3" t="inlineStr">
        <is>
          <t>June 2026 General Fund revenue vs June 2025 (district's monitoring tool)</t>
        </is>
      </c>
      <c r="B84" s="8" t="n">
        <v>3923096</v>
      </c>
      <c r="C84" s="8" t="n">
        <v>1130736</v>
      </c>
      <c r="F84" s="21" t="inlineStr">
        <is>
          <t>The two June entries above are 98 percent of the year-over-year June difference</t>
        </is>
      </c>
    </row>
    <row r="85">
      <c r="A85" s="3" t="inlineStr">
        <is>
          <t>Variance identity from the packet: projected fund balance reconciles to the dollar</t>
        </is>
      </c>
      <c r="B85" s="9">
        <f>1489853+2225835+587592-224087</f>
        <v/>
      </c>
      <c r="F85" s="21" t="inlineStr">
        <is>
          <t>Contingency + revenue over budget + salary savings - expense overrun = $4,079,193, the tool's projected balance. The June misc entry is 63 percent of the revenue beat</t>
        </is>
      </c>
    </row>
    <row r="86">
      <c r="A86" s="4" t="inlineStr">
        <is>
          <t>BUILDING FUND FLOWS, FY2026 (fund 320, same packet)</t>
        </is>
      </c>
    </row>
    <row r="87">
      <c r="A87" s="3" t="inlineStr">
        <is>
          <t>Building Fund transfers out, FY2026 total</t>
        </is>
      </c>
      <c r="B87" s="8" t="n">
        <v>2481394</v>
      </c>
    </row>
    <row r="88">
      <c r="A88" s="3" t="inlineStr">
        <is>
          <t xml:space="preserve">  to Debt Service (fund 400)</t>
        </is>
      </c>
      <c r="B88" s="8" t="n">
        <v>1382761</v>
      </c>
    </row>
    <row r="89">
      <c r="A89" s="3" t="inlineStr">
        <is>
          <t xml:space="preserve">  to the General Fund (June 2026)</t>
        </is>
      </c>
      <c r="B89" s="9">
        <f>B87-B88</f>
        <v/>
      </c>
      <c r="F89" s="21" t="inlineStr">
        <is>
          <t>The residual after debt service. This is the restricted stream a $14 million bond would lean on; in FY2026 it plugged the operating budget instead</t>
        </is>
      </c>
    </row>
    <row r="90">
      <c r="A90" s="3" t="inlineStr">
        <is>
          <t>Bond capacity that residual supports at the same rate and term</t>
        </is>
      </c>
      <c r="B90" s="9">
        <f>B89*(1-(1+B40)^-B41)/B40</f>
        <v/>
      </c>
      <c r="F90" s="21" t="inlineStr">
        <is>
          <t>About $14 million: the plan's own target, carried by restricted money. The closure's role is only to replace the sweep, and any recurring million dollars does that</t>
        </is>
      </c>
    </row>
    <row r="92">
      <c r="A92" s="4" t="inlineStr">
        <is>
          <t>SCENARIO: BALANCE THE BUDGET AND EXPAND BONDING CAPACITY, NO CLOSURE</t>
        </is>
      </c>
    </row>
    <row r="93">
      <c r="A93" s="2" t="inlineStr">
        <is>
          <t>Two cases differ only in the operating gap assumed. Conservative treats the FY2026 $1.57M receipt as one-time;</t>
        </is>
      </c>
    </row>
    <row r="94">
      <c r="A94" s="2" t="inlineStr">
        <is>
          <t>trend uses the unaudited FY2026 net change. Operations are balanced first; only the remainder services debt.</t>
        </is>
      </c>
    </row>
    <row r="95">
      <c r="B95" s="17" t="inlineStr">
        <is>
          <t>Conservative</t>
        </is>
      </c>
      <c r="C95" s="17" t="inlineStr">
        <is>
          <t>FY2026 trend</t>
        </is>
      </c>
    </row>
    <row r="96">
      <c r="A96" s="3" t="inlineStr">
        <is>
          <t>Operating gap to close first</t>
        </is>
      </c>
      <c r="B96" s="8" t="n">
        <v>1900000</v>
      </c>
      <c r="C96" s="8" t="n">
        <v>373989</v>
      </c>
      <c r="F96" s="21" t="inlineStr">
        <is>
          <t>Editable. $1.9M = FY2026 result excluding the unidentified receipt; $373,989 = FY2026 unaudited net change</t>
        </is>
      </c>
    </row>
    <row r="97">
      <c r="A97" s="3" t="inlineStr">
        <is>
          <t>New recurring revenue: 4 percent levy taken three years running</t>
        </is>
      </c>
      <c r="B97" s="18">
        <f>Tax_History!B32*(1.04^3-1)</f>
        <v/>
      </c>
      <c r="C97" s="18">
        <f>Tax_History!B32*(1.04^3-1)</f>
        <v/>
      </c>
      <c r="F97" s="21" t="inlineStr">
        <is>
          <t>Same base and compounding as the levy tab; year 1 is $313,162, year 3 cumulative $977,568</t>
        </is>
      </c>
    </row>
    <row r="98">
      <c r="A98" s="3" t="inlineStr">
        <is>
          <t>Recurring cost reductions, not from closing a school</t>
        </is>
      </c>
      <c r="B98" s="8" t="n">
        <v>1000000</v>
      </c>
      <c r="C98" s="8" t="n">
        <v>1000000</v>
      </c>
      <c r="F98" s="21" t="inlineStr">
        <is>
          <t>Editable. For scale from the FY2025 audit: district administration grew $221K in one year, salaries fell $224K through attrition, spending ran $859K under budget</t>
        </is>
      </c>
    </row>
    <row r="99">
      <c r="A99" s="3" t="inlineStr">
        <is>
          <t>Operating room left for debt service after the budget balances</t>
        </is>
      </c>
      <c r="B99" s="9">
        <f>MAX(0,B97+B98-B96)</f>
        <v/>
      </c>
      <c r="C99" s="9">
        <f>MAX(0,C97+C98-C96)</f>
        <v/>
      </c>
    </row>
    <row r="100">
      <c r="A100" s="3" t="inlineStr">
        <is>
          <t>General-fund bond capacity from that room</t>
        </is>
      </c>
      <c r="B100" s="9">
        <f>B99*(1-(1+B$40)^-B$41)/B$40</f>
        <v/>
      </c>
      <c r="C100" s="9">
        <f>C99*(1-(1+B$40)^-B$41)/B$40</f>
        <v/>
      </c>
    </row>
    <row r="101">
      <c r="A101" s="3" t="inlineStr">
        <is>
          <t>New state equalization on the already-levied recallable nickel</t>
        </is>
      </c>
      <c r="B101" s="8" t="n">
        <v>276246</v>
      </c>
      <c r="C101" s="8" t="n">
        <v>276246</v>
      </c>
      <c r="F101" s="21" t="inlineStr">
        <is>
          <t>FY2027 SEEK schedule; the recallable nickel itself is already levied and its local yield is already inside the building-fund stream above</t>
        </is>
      </c>
    </row>
    <row r="102">
      <c r="A102" s="3" t="inlineStr">
        <is>
          <t>Bond capacity from the new equalization</t>
        </is>
      </c>
      <c r="B102" s="9">
        <f>B101*(1-(1+B$40)^-B$41)/B$40</f>
        <v/>
      </c>
      <c r="C102" s="9">
        <f>C101*(1-(1+B$40)^-B$41)/B$40</f>
        <v/>
      </c>
    </row>
    <row r="103">
      <c r="A103" s="3" t="inlineStr">
        <is>
          <t>Existing unused restricted capacity, approximate</t>
        </is>
      </c>
      <c r="B103" s="8" t="n">
        <v>17600000</v>
      </c>
      <c r="C103" s="8" t="n">
        <v>17600000</v>
      </c>
      <c r="F103" s="21" t="inlineStr">
        <is>
          <t>FY2024 audit $23.5M less local share of the 2024 issue; fiscal agent's statement is the authority</t>
        </is>
      </c>
    </row>
    <row r="104">
      <c r="A104" s="22" t="inlineStr">
        <is>
          <t>Total capacity available without closing a school</t>
        </is>
      </c>
      <c r="B104" s="24">
        <f>B100+B102+B103</f>
        <v/>
      </c>
      <c r="C104" s="24">
        <f>C100+C102+C103</f>
        <v/>
      </c>
    </row>
    <row r="105">
      <c r="A105" s="2" t="inlineStr">
        <is>
          <t>Roughly $22.2 million in the conservative case and $42.1 million on the FY2026 trend, with the budget balanced</t>
        </is>
      </c>
    </row>
    <row r="106">
      <c r="A106" s="2" t="inlineStr">
        <is>
          <t>first in both. The administration's plan reaches $32 million at face value and leaves the deficit in place.</t>
        </is>
      </c>
    </row>
    <row r="107">
      <c r="A107" s="2" t="inlineStr">
        <is>
          <t>Floor check: even with zero general-fund room, the restricted capacity plus new equalization alone are about $21 million.</t>
        </is>
      </c>
    </row>
    <row r="108">
      <c r="A108" s="2" t="inlineStr">
        <is>
          <t>Pledging the building-fund residual to new bonds requires ending the capital-to-operations sweep documented above,</t>
        </is>
      </c>
    </row>
    <row r="109">
      <c r="A109" s="2" t="inlineStr">
        <is>
          <t>which is exactly what the administration's plan implies; the only question is which recurring million replaces it.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B6-GF_Summary!$D$16+0.5*Alternatives!$B$21</f>
        <v/>
      </c>
      <c r="D6" s="9">
        <f>C6-GF_Summary!$D$16+Alternatives!$B$21</f>
        <v/>
      </c>
      <c r="E6" s="9">
        <f>D6-GF_Summary!$D$16+Alternatives!$B$21</f>
        <v/>
      </c>
    </row>
    <row r="7">
      <c r="A7" s="3" t="inlineStr">
        <is>
          <t>Closure only (base-case net saving from FY2027)</t>
        </is>
      </c>
      <c r="B7" s="9">
        <f>GF_Summary!D9-GF_Summary!$D$16</f>
        <v/>
      </c>
      <c r="C7" s="9">
        <f>B7-GF_Summary!$D$16+Closure_Model!$B$20</f>
        <v/>
      </c>
      <c r="D7" s="9">
        <f>C7-GF_Summary!$D$16+Closure_Model!$B$20</f>
        <v/>
      </c>
      <c r="E7" s="9">
        <f>D7-GF_Summary!$D$16+Closure_Model!$B$20</f>
        <v/>
      </c>
    </row>
    <row r="8">
      <c r="A8" s="3" t="inlineStr">
        <is>
          <t>2% contingency floor (approx., FY2025 basis)</t>
        </is>
      </c>
      <c r="B8" s="18">
        <f>GF_Summary!$D$14</f>
        <v/>
      </c>
      <c r="C8" s="18">
        <f>GF_Summary!$D$14</f>
        <v/>
      </c>
      <c r="D8" s="18">
        <f>GF_Summary!$D$14</f>
        <v/>
      </c>
      <c r="E8" s="18">
        <f>GF_Summary!$D$14</f>
        <v/>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covers 13.6% of the gap (24.2% in the district-favorable case); longer rides; enrollment-loss risk</t>
        </is>
      </c>
    </row>
    <row r="7">
      <c r="A7" s="3" t="inlineStr">
        <is>
          <t>3. Districtwide recovery plan (menu plus levy; includes rebalancing and growing NMES)</t>
        </is>
      </c>
      <c r="B7" s="18">
        <f>Alternatives!B21</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5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6" customWidth="1" min="5" max="5"/>
    <col width="13" customWidth="1" min="6" max="6"/>
    <col width="48" customWidth="1" min="7" max="7"/>
  </cols>
  <sheetData>
    <row r="1">
      <c r="A1" s="1" t="inlineStr">
        <is>
          <t>Property Tax Rates, Fund Split, Delinquency, and the 4% Option</t>
        </is>
      </c>
    </row>
    <row r="2">
      <c r="A2" s="2" t="inlineStr">
        <is>
          <t>Backs Section 9 and Figure 15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8" t="n">
        <v>61.3</v>
      </c>
      <c r="G5" s="21" t="inlineStr">
        <is>
          <t>2019 documented as the board taking the 4% option (Bourbon County Citizen, 9/4/2019); other years' rate type undetermined pending KDE levy files</t>
        </is>
      </c>
    </row>
    <row r="6">
      <c r="A6" s="3" t="inlineStr">
        <is>
          <t>2019</t>
        </is>
      </c>
      <c r="B6" s="28" t="n">
        <v>60.6</v>
      </c>
    </row>
    <row r="7">
      <c r="A7" s="3" t="inlineStr">
        <is>
          <t>2020</t>
        </is>
      </c>
      <c r="B7" s="28" t="n">
        <v>55.9</v>
      </c>
    </row>
    <row r="8">
      <c r="A8" s="3" t="inlineStr">
        <is>
          <t>2021</t>
        </is>
      </c>
      <c r="B8" s="28" t="n">
        <v>54.2</v>
      </c>
    </row>
    <row r="9">
      <c r="A9" s="3" t="inlineStr">
        <is>
          <t>2022</t>
        </is>
      </c>
      <c r="B9" s="28" t="n">
        <v>49.2</v>
      </c>
    </row>
    <row r="10">
      <c r="A10" s="3" t="inlineStr">
        <is>
          <t>2023</t>
        </is>
      </c>
      <c r="B10" s="28" t="n">
        <v>52.4</v>
      </c>
    </row>
    <row r="11">
      <c r="A11" s="3" t="inlineStr">
        <is>
          <t>2024</t>
        </is>
      </c>
      <c r="B11" s="28" t="n">
        <v>52.4</v>
      </c>
    </row>
    <row r="12">
      <c r="A12" s="3" t="inlineStr">
        <is>
          <t>2025</t>
        </is>
      </c>
      <c r="B12" s="28" t="n">
        <v>52.4</v>
      </c>
    </row>
    <row r="14">
      <c r="A14" s="3" t="inlineStr">
        <is>
          <t>Tangible/personal rate (recent)</t>
        </is>
      </c>
      <c r="B14" s="28" t="n">
        <v>64.5</v>
      </c>
    </row>
    <row r="15">
      <c r="A15" s="3" t="inlineStr">
        <is>
          <t>Motor vehicle rate</t>
        </is>
      </c>
      <c r="B15" s="28" t="n">
        <v>54.7</v>
      </c>
    </row>
    <row r="16">
      <c r="A16" s="3" t="inlineStr">
        <is>
          <t>Utility gross receipts</t>
        </is>
      </c>
      <c r="B16" s="13" t="n">
        <v>0.03</v>
      </c>
    </row>
    <row r="18">
      <c r="A18" s="4" t="inlineStr">
        <is>
          <t>AREA DISTRICTS, LEVIED REAL ESTATE RATE 2024-25</t>
        </is>
      </c>
    </row>
    <row r="19">
      <c r="A19" s="3" t="inlineStr">
        <is>
          <t>Fayette County</t>
        </is>
      </c>
      <c r="B19" s="28"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8" t="n">
        <v>71.5</v>
      </c>
    </row>
    <row r="21">
      <c r="A21" s="3" t="inlineStr">
        <is>
          <t>Clark County</t>
        </is>
      </c>
      <c r="B21" s="28" t="n">
        <v>66.8</v>
      </c>
    </row>
    <row r="22">
      <c r="A22" s="3" t="inlineStr">
        <is>
          <t>Bath County</t>
        </is>
      </c>
      <c r="B22" s="28" t="n">
        <v>63.4</v>
      </c>
    </row>
    <row r="23">
      <c r="A23" s="3" t="inlineStr">
        <is>
          <t>Scott County</t>
        </is>
      </c>
      <c r="B23" s="28" t="n">
        <v>62.9</v>
      </c>
    </row>
    <row r="24">
      <c r="A24" s="3" t="inlineStr">
        <is>
          <t>Harrison County</t>
        </is>
      </c>
      <c r="B24" s="28" t="n">
        <v>57.7</v>
      </c>
    </row>
    <row r="25">
      <c r="A25" s="3" t="inlineStr">
        <is>
          <t>Montgomery County</t>
        </is>
      </c>
      <c r="B25" s="28" t="n">
        <v>52.5</v>
      </c>
    </row>
    <row r="26">
      <c r="A26" s="3" t="inlineStr">
        <is>
          <t>Bourbon County</t>
        </is>
      </c>
      <c r="B26" s="28" t="n">
        <v>52.4</v>
      </c>
    </row>
    <row r="27">
      <c r="A27" s="3" t="inlineStr">
        <is>
          <t>Nicholas County</t>
        </is>
      </c>
      <c r="B27" s="28" t="n">
        <v>43.1</v>
      </c>
    </row>
    <row r="28">
      <c r="A28" s="3" t="inlineStr">
        <is>
          <t>Statewide school average (DOR Table II, 2025)</t>
        </is>
      </c>
      <c r="B28" s="28"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11)</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11)</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8" t="n">
        <v>56.5</v>
      </c>
      <c r="C15" s="28" t="n">
        <v>63.9</v>
      </c>
      <c r="D15" s="28" t="n">
        <v>68.59999999999999</v>
      </c>
      <c r="E15" s="28" t="n">
        <v>87.90000000000001</v>
      </c>
      <c r="F15" s="28" t="n">
        <v>85.8</v>
      </c>
      <c r="G15" s="28" t="n">
        <v>72.5</v>
      </c>
      <c r="H15" s="28" t="n">
        <v>67.59999999999999</v>
      </c>
      <c r="I15" s="28" t="n">
        <v>56.6</v>
      </c>
      <c r="J15" s="28" t="n">
        <v>56.9</v>
      </c>
      <c r="K15" s="28" t="n">
        <v>48.7</v>
      </c>
      <c r="L15" s="28" t="n">
        <v>49.3</v>
      </c>
      <c r="M15" s="28" t="n">
        <v>40</v>
      </c>
      <c r="N15" s="28" t="n">
        <v>50.4</v>
      </c>
      <c r="P15" s="28" t="n">
        <v>47.7</v>
      </c>
      <c r="Q15" s="28" t="n">
        <v>32.1</v>
      </c>
      <c r="R15" s="28" t="n">
        <v>54.1</v>
      </c>
      <c r="S15" s="28" t="n">
        <v>58.2</v>
      </c>
    </row>
    <row r="16">
      <c r="A16" s="3" t="inlineStr">
        <is>
          <t>Bourbon Central (Bourbon Co.)</t>
        </is>
      </c>
      <c r="B16" s="28" t="n">
        <v>77.5</v>
      </c>
      <c r="C16" s="28" t="n">
        <v>81.90000000000001</v>
      </c>
      <c r="D16" s="28" t="n">
        <v>72.59999999999999</v>
      </c>
      <c r="E16" s="28" t="n">
        <v>69.59999999999999</v>
      </c>
      <c r="F16" s="28" t="n">
        <v>63</v>
      </c>
      <c r="G16" s="28" t="n">
        <v>74.7</v>
      </c>
      <c r="H16" s="28" t="n">
        <v>67.59999999999999</v>
      </c>
      <c r="I16" s="28" t="n">
        <v>51.8</v>
      </c>
      <c r="J16" s="28" t="n">
        <v>52.1</v>
      </c>
      <c r="K16" s="28" t="n">
        <v>30</v>
      </c>
      <c r="L16" s="28" t="n">
        <v>34</v>
      </c>
      <c r="M16" s="28" t="n">
        <v>32.8</v>
      </c>
      <c r="N16" s="28" t="n">
        <v>39.9</v>
      </c>
      <c r="O16" s="28" t="n">
        <v>20</v>
      </c>
      <c r="P16" s="28" t="n">
        <v>29.9</v>
      </c>
      <c r="Q16" s="28" t="n">
        <v>29</v>
      </c>
      <c r="R16" s="28" t="n">
        <v>23.8</v>
      </c>
      <c r="S16" s="28" t="n">
        <v>26.5</v>
      </c>
    </row>
    <row r="17">
      <c r="A17" s="3" t="inlineStr">
        <is>
          <t>Cane Ridge (Bourbon Co.)</t>
        </is>
      </c>
      <c r="B17" s="28" t="n">
        <v>35.2</v>
      </c>
      <c r="C17" s="28" t="n">
        <v>50.9</v>
      </c>
      <c r="D17" s="28" t="n">
        <v>56.2</v>
      </c>
      <c r="E17" s="28" t="n">
        <v>65.5</v>
      </c>
      <c r="F17" s="28" t="n">
        <v>34.5</v>
      </c>
      <c r="G17" s="28" t="n">
        <v>34</v>
      </c>
      <c r="H17" s="28" t="n">
        <v>49.6</v>
      </c>
      <c r="I17" s="28" t="n">
        <v>51</v>
      </c>
      <c r="J17" s="28" t="n">
        <v>51.1</v>
      </c>
      <c r="K17" s="28" t="n">
        <v>57.5</v>
      </c>
      <c r="L17" s="28" t="n">
        <v>50.4</v>
      </c>
      <c r="M17" s="28" t="n">
        <v>41.4</v>
      </c>
      <c r="N17" s="28" t="n">
        <v>38.8</v>
      </c>
      <c r="O17" s="28" t="n">
        <v>23.8</v>
      </c>
      <c r="P17" s="28" t="n">
        <v>38.7</v>
      </c>
      <c r="Q17" s="28" t="n">
        <v>34.6</v>
      </c>
      <c r="R17" s="28" t="n">
        <v>35.8</v>
      </c>
      <c r="S17" s="28" t="n">
        <v>19.3</v>
      </c>
    </row>
    <row r="18">
      <c r="A18" s="3" t="inlineStr">
        <is>
          <t>Paris Elementary (Paris Indep.)</t>
        </is>
      </c>
      <c r="R18" s="28" t="n">
        <v>16.8</v>
      </c>
      <c r="S18" s="28" t="n">
        <v>12.2</v>
      </c>
    </row>
    <row r="19">
      <c r="A19" s="3" t="inlineStr">
        <is>
          <t>Shearer (Clark Co.)</t>
        </is>
      </c>
      <c r="R19" s="28" t="n">
        <v>30.7</v>
      </c>
      <c r="S19" s="28" t="n">
        <v>42.3</v>
      </c>
    </row>
    <row r="20">
      <c r="A20" s="3" t="inlineStr">
        <is>
          <t>Justice (Clark Co.)</t>
        </is>
      </c>
      <c r="R20" s="28" t="n">
        <v>43.2</v>
      </c>
      <c r="S20" s="28" t="n">
        <v>39.3</v>
      </c>
    </row>
    <row r="21">
      <c r="A21" s="3" t="inlineStr">
        <is>
          <t>Strode Station (Clark Co.)</t>
        </is>
      </c>
      <c r="R21" s="28" t="n">
        <v>43.2</v>
      </c>
      <c r="S21" s="28" t="n">
        <v>34.2</v>
      </c>
    </row>
    <row r="22">
      <c r="A22" s="3" t="inlineStr">
        <is>
          <t>Conkwright (Clark Co.)</t>
        </is>
      </c>
      <c r="R22" s="28" t="n">
        <v>15.6</v>
      </c>
      <c r="S22" s="28" t="n">
        <v>17.5</v>
      </c>
    </row>
    <row r="23">
      <c r="A23" s="3" t="inlineStr">
        <is>
          <t>Northview (Montgomery Co.)</t>
        </is>
      </c>
      <c r="R23" s="28" t="n">
        <v>67.40000000000001</v>
      </c>
      <c r="S23" s="28" t="n">
        <v>68.90000000000001</v>
      </c>
    </row>
    <row r="24">
      <c r="A24" s="3" t="inlineStr">
        <is>
          <t>Mapleton (Montgomery Co.)</t>
        </is>
      </c>
      <c r="R24" s="28" t="n">
        <v>65.90000000000001</v>
      </c>
      <c r="S24" s="28" t="n">
        <v>65.09999999999999</v>
      </c>
    </row>
    <row r="25">
      <c r="A25" s="3" t="inlineStr">
        <is>
          <t>Nicholas County Elementary (Nicholas Co.)</t>
        </is>
      </c>
      <c r="R25" s="28"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2"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8" t="n">
        <v>51.9</v>
      </c>
      <c r="C45" s="28" t="n">
        <v>59.7</v>
      </c>
      <c r="D45" s="28" t="n">
        <v>63.2</v>
      </c>
      <c r="E45" s="28" t="n">
        <v>53.2</v>
      </c>
      <c r="F45" s="28" t="n">
        <v>56.1</v>
      </c>
      <c r="G45" s="28" t="n">
        <v>55.6</v>
      </c>
      <c r="H45" s="28" t="n">
        <v>42.3</v>
      </c>
      <c r="I45" s="28" t="n">
        <v>48.4</v>
      </c>
      <c r="J45" s="28" t="n">
        <v>21.4</v>
      </c>
      <c r="K45" s="28" t="n">
        <v>32</v>
      </c>
      <c r="L45" s="28" t="n">
        <v>43</v>
      </c>
      <c r="M45" s="28" t="n">
        <v>45</v>
      </c>
      <c r="N45" s="28" t="n">
        <v>41</v>
      </c>
    </row>
    <row r="46">
      <c r="A46" s="3" t="inlineStr">
        <is>
          <t>Reading: Bourbon Central</t>
        </is>
      </c>
      <c r="B46" s="28" t="n">
        <v>62.1</v>
      </c>
      <c r="C46" s="28" t="n">
        <v>56.6</v>
      </c>
      <c r="D46" s="28" t="n">
        <v>61.2</v>
      </c>
      <c r="E46" s="28" t="n">
        <v>55.7</v>
      </c>
      <c r="F46" s="28" t="n">
        <v>47.9</v>
      </c>
      <c r="G46" s="28" t="n">
        <v>47.9</v>
      </c>
      <c r="H46" s="28" t="n">
        <v>49.3</v>
      </c>
      <c r="I46" s="28" t="n">
        <v>49.1</v>
      </c>
      <c r="J46" s="28" t="n">
        <v>27.1</v>
      </c>
      <c r="K46" s="28" t="n">
        <v>43</v>
      </c>
      <c r="L46" s="28" t="n">
        <v>37</v>
      </c>
      <c r="M46" s="28" t="n">
        <v>36</v>
      </c>
      <c r="N46" s="28" t="n">
        <v>38</v>
      </c>
    </row>
    <row r="47">
      <c r="A47" s="3" t="inlineStr">
        <is>
          <t>Reading: Cane Ridge</t>
        </is>
      </c>
      <c r="B47" s="28" t="n">
        <v>42.9</v>
      </c>
      <c r="C47" s="28" t="n">
        <v>47.2</v>
      </c>
      <c r="D47" s="28" t="n">
        <v>54.5</v>
      </c>
      <c r="E47" s="28" t="n">
        <v>55.3</v>
      </c>
      <c r="F47" s="28" t="n">
        <v>59.3</v>
      </c>
      <c r="G47" s="28" t="n">
        <v>57.1</v>
      </c>
      <c r="H47" s="28" t="n">
        <v>52</v>
      </c>
      <c r="I47" s="28" t="n">
        <v>49.6</v>
      </c>
      <c r="J47" s="28" t="n">
        <v>26.5</v>
      </c>
      <c r="K47" s="28" t="n">
        <v>44</v>
      </c>
      <c r="L47" s="28" t="n">
        <v>40</v>
      </c>
      <c r="M47" s="28" t="n">
        <v>40</v>
      </c>
      <c r="N47" s="28" t="n">
        <v>37</v>
      </c>
    </row>
    <row r="48">
      <c r="A48" s="3" t="inlineStr">
        <is>
          <t>Reading: Paris Elementary</t>
        </is>
      </c>
      <c r="B48" s="28" t="n">
        <v>31</v>
      </c>
      <c r="C48" s="28" t="n">
        <v>34.1</v>
      </c>
      <c r="D48" s="28" t="n">
        <v>42.9</v>
      </c>
      <c r="E48" s="28" t="n">
        <v>38.9</v>
      </c>
      <c r="F48" s="28" t="n">
        <v>41.2</v>
      </c>
      <c r="G48" s="28" t="n">
        <v>34.3</v>
      </c>
      <c r="H48" s="28" t="n">
        <v>34.4</v>
      </c>
      <c r="I48" s="28" t="n">
        <v>35.3</v>
      </c>
      <c r="J48" s="28" t="n">
        <v>25</v>
      </c>
      <c r="K48" s="28" t="n">
        <v>28</v>
      </c>
      <c r="L48" s="28" t="n">
        <v>25</v>
      </c>
      <c r="M48" s="28" t="n">
        <v>30</v>
      </c>
      <c r="N48" s="28" t="n">
        <v>25</v>
      </c>
    </row>
    <row r="49">
      <c r="A49" s="3" t="inlineStr">
        <is>
          <t>Mathematics: North Middletown</t>
        </is>
      </c>
      <c r="B49" s="28" t="n">
        <v>53.2</v>
      </c>
      <c r="C49" s="28" t="n">
        <v>49.4</v>
      </c>
      <c r="D49" s="28" t="n">
        <v>55.3</v>
      </c>
      <c r="E49" s="28" t="n">
        <v>59.5</v>
      </c>
      <c r="F49" s="28" t="n">
        <v>62.1</v>
      </c>
      <c r="G49" s="28" t="n">
        <v>50.8</v>
      </c>
      <c r="H49" s="28" t="n">
        <v>47.9</v>
      </c>
      <c r="I49" s="28" t="n">
        <v>48.4</v>
      </c>
      <c r="J49" s="28" t="n">
        <v>17.9</v>
      </c>
      <c r="K49" s="28" t="n">
        <v>31</v>
      </c>
      <c r="L49" s="28" t="n">
        <v>30</v>
      </c>
      <c r="M49" s="28" t="n">
        <v>45</v>
      </c>
      <c r="N49" s="28" t="n">
        <v>31</v>
      </c>
    </row>
    <row r="50">
      <c r="A50" s="3" t="inlineStr">
        <is>
          <t>Mathematics: Bourbon Central</t>
        </is>
      </c>
      <c r="B50" s="28" t="n">
        <v>47.1</v>
      </c>
      <c r="C50" s="28" t="n">
        <v>47.4</v>
      </c>
      <c r="D50" s="28" t="n">
        <v>43</v>
      </c>
      <c r="E50" s="28" t="n">
        <v>43.6</v>
      </c>
      <c r="F50" s="28" t="n">
        <v>40</v>
      </c>
      <c r="G50" s="28" t="n">
        <v>43.5</v>
      </c>
      <c r="H50" s="28" t="n">
        <v>41.8</v>
      </c>
      <c r="I50" s="28" t="n">
        <v>45.1</v>
      </c>
      <c r="J50" s="28" t="n">
        <v>31.7</v>
      </c>
      <c r="K50" s="28" t="n">
        <v>27</v>
      </c>
      <c r="L50" s="28" t="n">
        <v>28</v>
      </c>
      <c r="M50" s="28" t="n">
        <v>23</v>
      </c>
      <c r="N50" s="28" t="n">
        <v>28</v>
      </c>
    </row>
    <row r="51">
      <c r="A51" s="3" t="inlineStr">
        <is>
          <t>Mathematics: Cane Ridge</t>
        </is>
      </c>
      <c r="B51" s="28" t="n">
        <v>33.3</v>
      </c>
      <c r="C51" s="28" t="n">
        <v>37.7</v>
      </c>
      <c r="D51" s="28" t="n">
        <v>43.1</v>
      </c>
      <c r="E51" s="28" t="n">
        <v>46.1</v>
      </c>
      <c r="F51" s="28" t="n">
        <v>54.4</v>
      </c>
      <c r="G51" s="28" t="n">
        <v>45.9</v>
      </c>
      <c r="H51" s="28" t="n">
        <v>41.5</v>
      </c>
      <c r="I51" s="28" t="n">
        <v>39</v>
      </c>
      <c r="J51" s="28" t="n">
        <v>25.2</v>
      </c>
      <c r="K51" s="28" t="n">
        <v>33</v>
      </c>
      <c r="L51" s="28" t="n">
        <v>35</v>
      </c>
      <c r="M51" s="28" t="n">
        <v>30</v>
      </c>
      <c r="N51" s="28" t="n">
        <v>27</v>
      </c>
    </row>
    <row r="52">
      <c r="A52" s="3" t="inlineStr">
        <is>
          <t>Mathematics: Paris Elementary</t>
        </is>
      </c>
      <c r="B52" s="28" t="n">
        <v>29.7</v>
      </c>
      <c r="C52" s="28" t="n">
        <v>25</v>
      </c>
      <c r="D52" s="28" t="n">
        <v>26.8</v>
      </c>
      <c r="E52" s="28" t="n">
        <v>22.9</v>
      </c>
      <c r="F52" s="28" t="n">
        <v>41.9</v>
      </c>
      <c r="G52" s="28" t="n">
        <v>28.7</v>
      </c>
      <c r="H52" s="28" t="n">
        <v>30</v>
      </c>
      <c r="I52" s="28" t="n">
        <v>32</v>
      </c>
      <c r="J52" s="28" t="n">
        <v>15.3</v>
      </c>
      <c r="K52" s="28" t="n">
        <v>23</v>
      </c>
      <c r="L52" s="28" t="n">
        <v>32</v>
      </c>
      <c r="M52" s="28" t="n">
        <v>27</v>
      </c>
      <c r="N52" s="28"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8" t="n">
        <v>62.6</v>
      </c>
      <c r="C56" s="28" t="n">
        <v>68.8</v>
      </c>
      <c r="D56" s="28" t="n">
        <v>71.40000000000001</v>
      </c>
      <c r="E56" s="28" t="n">
        <v>72.09999999999999</v>
      </c>
      <c r="F56" s="28" t="n">
        <v>79.09999999999999</v>
      </c>
      <c r="K56" s="28" t="n">
        <v>51.9</v>
      </c>
      <c r="L56" s="28" t="n">
        <v>62.2</v>
      </c>
      <c r="M56" s="28" t="n">
        <v>74.5</v>
      </c>
      <c r="N56" s="28" t="n">
        <v>54</v>
      </c>
    </row>
    <row r="57">
      <c r="A57" s="3" t="inlineStr">
        <is>
          <t>Bourbon Central</t>
        </is>
      </c>
      <c r="B57" s="28" t="n">
        <v>63.2</v>
      </c>
      <c r="C57" s="28" t="n">
        <v>63</v>
      </c>
      <c r="D57" s="28" t="n">
        <v>69.8</v>
      </c>
      <c r="E57" s="28" t="n">
        <v>67.8</v>
      </c>
      <c r="F57" s="28" t="n">
        <v>56.8</v>
      </c>
      <c r="K57" s="28" t="n">
        <v>52.8</v>
      </c>
      <c r="L57" s="28" t="n">
        <v>56.7</v>
      </c>
      <c r="M57" s="28" t="n">
        <v>50.3</v>
      </c>
      <c r="N57" s="28" t="n">
        <v>55.4</v>
      </c>
    </row>
    <row r="58">
      <c r="A58" s="3" t="inlineStr">
        <is>
          <t>Cane Ridge</t>
        </is>
      </c>
      <c r="B58" s="28" t="n">
        <v>53.3</v>
      </c>
      <c r="C58" s="28" t="n">
        <v>58.9</v>
      </c>
      <c r="D58" s="28" t="n">
        <v>69.2</v>
      </c>
      <c r="E58" s="28" t="n">
        <v>68.5</v>
      </c>
      <c r="F58" s="28" t="n">
        <v>65.5</v>
      </c>
      <c r="K58" s="28" t="n">
        <v>54.3</v>
      </c>
      <c r="L58" s="28" t="n">
        <v>51.8</v>
      </c>
      <c r="M58" s="28" t="n">
        <v>60.7</v>
      </c>
      <c r="N58" s="28" t="n">
        <v>47.8</v>
      </c>
    </row>
    <row r="59">
      <c r="A59" s="3" t="inlineStr">
        <is>
          <t>Paris Elementary</t>
        </is>
      </c>
      <c r="B59" s="28" t="n">
        <v>48</v>
      </c>
      <c r="C59" s="28" t="n">
        <v>49.9</v>
      </c>
      <c r="D59" s="28" t="n">
        <v>59.4</v>
      </c>
      <c r="E59" s="28" t="n">
        <v>54.8</v>
      </c>
      <c r="F59" s="28" t="n">
        <v>69.59999999999999</v>
      </c>
      <c r="K59" s="28" t="n">
        <v>46.1</v>
      </c>
      <c r="L59" s="28" t="n">
        <v>45.9</v>
      </c>
      <c r="M59" s="28" t="n">
        <v>40.7</v>
      </c>
      <c r="N59" s="28"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52"/>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Rated capacity 549, reflecting the addition in the 2021 plan</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rated 549</t>
        </is>
      </c>
      <c r="B13" s="11">
        <f>549-Redistricting!B8</f>
        <v/>
      </c>
    </row>
    <row r="14">
      <c r="A14" s="3" t="inlineStr">
        <is>
          <t>Cane Ridge students over rated 422</t>
        </is>
      </c>
      <c r="B14" s="11">
        <f>Redistricting!B9-E8</f>
        <v/>
      </c>
    </row>
    <row r="15">
      <c r="A15" s="3" t="inlineStr">
        <is>
          <t>Net uncommitted seats at both receiving schools</t>
        </is>
      </c>
      <c r="B15" s="33">
        <f>B13-B14</f>
        <v/>
      </c>
    </row>
    <row r="16">
      <c r="A16" s="3" t="inlineStr">
        <is>
          <t>NMES students needing seats on closure</t>
        </is>
      </c>
      <c r="B16" s="25">
        <f>Assumptions!B11</f>
        <v/>
      </c>
    </row>
    <row r="17">
      <c r="A17" s="3" t="inlineStr">
        <is>
          <t>Shortfall if closure proceeds today</t>
        </is>
      </c>
      <c r="B17" s="33">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rated capacities are 549 (Bourbon Central) and 422 (Cane Ridge). At current enrollment that is 90 open at Bourbon Central and 31 over at Cane Ridge, a net 59 uncommitted seats for 128 children.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C30-549</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33">
        <f>D30+D31</f>
        <v/>
      </c>
    </row>
    <row r="34">
      <c r="A34" s="3" t="inlineStr">
        <is>
          <t>NMES fill rate even at the draft's own 154 rating</t>
        </is>
      </c>
      <c r="B34" s="34">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33">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(549 with addition, 422): three documents, three capacity sets for the same buildings. NMES total need is second lowest among the district's schools.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2026-07-25T12:41:53Z</dcterms:created>
  <dcterms:modified xsi:type="dcterms:W3CDTF">2026-07-25T12:41:53Z</dcterms:modified>
</cp:coreProperties>
</file>