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As a share of the FY2025 structural deficit</t>
        </is>
      </c>
      <c r="B21" s="19">
        <f>B20/(Assumptions!B24-Assumptions!B21)</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As a share of the FY2025 structural deficit</t>
        </is>
      </c>
      <c r="B35" s="19">
        <f>B34/(Assumptions!B24-Assumptions!B21)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3"/>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Assumptions!B35*Assumptions!B36</f>
        <v/>
      </c>
      <c r="C4" s="8" t="n">
        <v>450000</v>
      </c>
      <c r="D4" s="2" t="inlineStr">
        <is>
          <t>Low = 4% of FY2025 GF property tax;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3" t="inlineStr">
        <is>
          <t>NMES multi-age reorganization</t>
        </is>
      </c>
      <c r="B14" s="8" t="n">
        <v>170000</v>
      </c>
      <c r="C14" s="8" t="n">
        <v>255000</v>
      </c>
      <c r="D14" s="2" t="inlineStr">
        <is>
          <t>Six or seven sections instead of nine, via attrition</t>
        </is>
      </c>
      <c r="E14" s="2" t="inlineStr">
        <is>
          <t>Cost reduction</t>
        </is>
      </c>
      <c r="F14" s="2" t="inlineStr">
        <is>
          <t>Medium; needs a staffing and grade-band plan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Four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gap, which NMES did not cause, drains reserves below zero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Keep NMES open, rebalance and grow</t>
        </is>
      </c>
      <c r="B7" s="18">
        <f>Redistricting!B30</f>
        <v/>
      </c>
      <c r="C7" s="9">
        <f>GF_Summary!D9-4*GF_Summary!D16+3*Redistricting!B30</f>
        <v/>
      </c>
      <c r="D7" s="2" t="inlineStr">
        <is>
          <t>Minimal (boundary process)</t>
        </is>
      </c>
      <c r="E7" s="2" t="inlineStr">
        <is>
          <t>Board boundary action and HB 563 recruitment; academic upside; does not close the gap alone</t>
        </is>
      </c>
    </row>
    <row r="8">
      <c r="A8" s="3" t="inlineStr">
        <is>
          <t>4. Districtwide recovery plan (menu plus levy)</t>
        </is>
      </c>
      <c r="B8" s="18">
        <f>Alternatives!B21</f>
        <v/>
      </c>
      <c r="C8" s="9">
        <f>Runway!E6</f>
        <v/>
      </c>
      <c r="D8" s="2" t="inlineStr">
        <is>
          <t>Varies by measure</t>
        </is>
      </c>
      <c r="E8" s="2" t="inlineStr">
        <is>
          <t>Revenue votes, administrative rollback, and implementation discipline; keeps every school open</t>
        </is>
      </c>
    </row>
    <row r="10">
      <c r="A10" s="21" t="inlineStr">
        <is>
          <t>Reading: the question before the board is not closure versus no closure. It is which complete plan produces the best verified five-year result. Plan 2 buys roughly one extra year of runway; Plan 4 restores balance. Plans 3 and 4 combine.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actual real + personal collections</t>
        </is>
      </c>
      <c r="B48" s="18">
        <f>C43</f>
        <v/>
      </c>
      <c r="G48" s="21" t="inlineStr">
        <is>
          <t>Basis: 4% more revenue from EXISTING real + personal property than the compensating rate;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36"/>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Scores are SchoolDigger's normalized 0-100 'Average Standard Score' from KDE test data - not KDE's official rating. Confirm vs KDE Open House datasets before formal submission.</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3" t="inlineStr">
        <is>
          <t>Science, proficient or better</t>
        </is>
      </c>
      <c r="B33" s="13" t="n">
        <v>0.53</v>
      </c>
      <c r="C33" s="13" t="n">
        <v>0.37</v>
      </c>
    </row>
    <row r="34">
      <c r="A34" s="3" t="inlineStr">
        <is>
          <t>Composite: economically disadvantaged students</t>
        </is>
      </c>
      <c r="B34" s="28" t="n">
        <v>57.1</v>
      </c>
    </row>
    <row r="35">
      <c r="A35" s="3" t="inlineStr">
        <is>
          <t>Composite: female students</t>
        </is>
      </c>
      <c r="B35" s="28" t="n">
        <v>85.7</v>
      </c>
    </row>
    <row r="36">
      <c r="A36" s="3" t="inlineStr">
        <is>
          <t>Composite: male students</t>
        </is>
      </c>
      <c r="B36" s="28" t="n">
        <v>28.8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2026-07-20T11:46:12Z</dcterms:created>
  <dcterms:modified xsi:type="dcterms:W3CDTF">2026-07-20T11:46:12Z</dcterms:modified>
</cp:coreProperties>
</file>