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GF_Summary" sheetId="3" state="visible" r:id="rId3"/>
    <sheet name="Closure_Model" sheetId="4" state="visible" r:id="rId4"/>
    <sheet name="Growth_Model" sheetId="5" state="visible" r:id="rId5"/>
    <sheet name="Redistricting" sheetId="6" state="visible" r:id="rId6"/>
    <sheet name="Transport_Geo" sheetId="7" state="visible" r:id="rId7"/>
    <sheet name="Alternatives" sheetId="8" state="visible" r:id="rId8"/>
    <sheet name="Debt_Service" sheetId="9" state="visible" r:id="rId9"/>
    <sheet name="Runway" sheetId="10" state="visible" r:id="rId10"/>
    <sheet name="Scenarios" sheetId="11" state="visible" r:id="rId11"/>
    <sheet name="Tax_History" sheetId="12" state="visible" r:id="rId12"/>
    <sheet name="Demographics" sheetId="13" state="visible" r:id="rId13"/>
    <sheet name="School_Data" sheetId="14" state="visible" r:id="rId14"/>
    <sheet name="Facility_Plans" sheetId="15" state="visible" r:id="rId15"/>
    <sheet name="KY_Closures" sheetId="16" state="visible" r:id="rId16"/>
  </sheets>
  <definedNames/>
  <calcPr calcId="124519" fullCalcOnLoad="1"/>
</workbook>
</file>

<file path=xl/styles.xml><?xml version="1.0" encoding="utf-8"?>
<styleSheet xmlns="http://schemas.openxmlformats.org/spreadsheetml/2006/main">
  <numFmts count="8">
    <numFmt numFmtId="164" formatCode="$#,##0;($#,##0);&quot;-&quot;"/>
    <numFmt numFmtId="165" formatCode="#,##0;(#,##0);&quot;-&quot;"/>
    <numFmt numFmtId="166" formatCode="0.0%"/>
    <numFmt numFmtId="167" formatCode="0.0"/>
    <numFmt numFmtId="168" formatCode="0.000"/>
    <numFmt numFmtId="169" formatCode="+0.0%;-0.0%"/>
    <numFmt numFmtId="170" formatCode="&quot;$&quot;#,##0.00"/>
    <numFmt numFmtId="171" formatCode="+0.0;-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color rgb="00FFFFFF"/>
      <sz val="11"/>
    </font>
    <font>
      <name val="Arial"/>
      <b val="1"/>
      <sz val="10"/>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4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0" fontId="7" fillId="3" borderId="0" pivotButton="0" quotePrefix="0" xfId="0"/>
    <xf numFmtId="164" fontId="6" fillId="0" borderId="0" pivotButton="0" quotePrefix="0" xfId="0"/>
    <xf numFmtId="166" fontId="3" fillId="0" borderId="0" pivotButton="0" quotePrefix="0" xfId="0"/>
    <xf numFmtId="167" fontId="3" fillId="0" borderId="0" pivotButton="0" quotePrefix="0" xfId="0"/>
    <xf numFmtId="0" fontId="2" fillId="0" borderId="0" applyAlignment="1" pivotButton="0" quotePrefix="0" xfId="0">
      <alignment vertical="top" wrapText="1"/>
    </xf>
    <xf numFmtId="0" fontId="8" fillId="0" borderId="0" pivotButton="0" quotePrefix="0" xfId="0"/>
    <xf numFmtId="164" fontId="8" fillId="0" borderId="0" pivotButton="0" quotePrefix="0" xfId="0"/>
    <xf numFmtId="164" fontId="8" fillId="0" borderId="1" pivotButton="0" quotePrefix="0" xfId="0"/>
    <xf numFmtId="165" fontId="6" fillId="0" borderId="0" pivotButton="0" quotePrefix="0" xfId="0"/>
    <xf numFmtId="165" fontId="8" fillId="0" borderId="0" pivotButton="0" quotePrefix="0" xfId="0"/>
    <xf numFmtId="1" fontId="3" fillId="0" borderId="0" pivotButton="0" quotePrefix="0" xfId="0"/>
    <xf numFmtId="2" fontId="5" fillId="2" borderId="0" pivotButton="0" quotePrefix="0" xfId="0"/>
    <xf numFmtId="167" fontId="5" fillId="0" borderId="0" pivotButton="0" quotePrefix="0" xfId="0"/>
    <xf numFmtId="2" fontId="3" fillId="0" borderId="0" pivotButton="0" quotePrefix="0" xfId="0"/>
    <xf numFmtId="164" fontId="3" fillId="0" borderId="1" pivotButton="0" quotePrefix="0" xfId="0"/>
    <xf numFmtId="1" fontId="5" fillId="0" borderId="0" pivotButton="0" quotePrefix="0" xfId="0"/>
    <xf numFmtId="169" fontId="8" fillId="0" borderId="0" pivotButton="0" quotePrefix="0" xfId="0"/>
    <xf numFmtId="170" fontId="3" fillId="0" borderId="0" pivotButton="0" quotePrefix="0" xfId="0"/>
    <xf numFmtId="171" fontId="3" fillId="0" borderId="0" pivotButton="0" quotePrefix="0" xfId="0"/>
    <xf numFmtId="167" fontId="7" fillId="3" borderId="0" pivotButton="0" quotePrefix="0" xfId="0"/>
    <xf numFmtId="166" fontId="8" fillId="0" borderId="0" pivotButton="0" quotePrefix="0" xfId="0"/>
    <xf numFmtId="168" fontId="5" fillId="0" borderId="0" pivotButton="0" quotePrefix="0" xfId="0"/>
    <xf numFmtId="168" fontId="8" fillId="0" borderId="0" pivotButton="0" quotePrefix="0" xfId="0"/>
    <xf numFmtId="9"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8"/>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July 2026 report 'A Deep Dive into Bourbon County Schools' (Bourbon County, Kentucky)</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Multi-year school scores and NMES enrollment history: School_Data tab (backs report Figures 6, 7, and 11).</t>
        </is>
      </c>
    </row>
    <row r="20">
      <c r="A20" s="2" t="inlineStr">
        <is>
          <t xml:space="preserve">  County demographics and the full 1989-2025 NMES enrollment series: Demographics tab (backs Section 9 and Figure 14).</t>
        </is>
      </c>
    </row>
    <row r="21">
      <c r="A21" s="2" t="inlineStr">
        <is>
          <t xml:space="preserve">  Tax rates, fund split, delinquency check, and the 4% three-year path: Tax_History tab (backs Figure 18).</t>
        </is>
      </c>
    </row>
    <row r="22">
      <c r="A22" s="2" t="inlineStr">
        <is>
          <t xml:space="preserve">  Boundary rebalancing and fill-to-capacity scenario: Redistricting tab (backs the Section 9 worked example and Figure 15).</t>
        </is>
      </c>
    </row>
    <row r="23">
      <c r="A23" s="2" t="inlineStr">
        <is>
          <t xml:space="preserve">  Bonding capacity components and what closure can and cannot change: Debt_Service tab (backs Section 6).</t>
        </is>
      </c>
    </row>
    <row r="24">
      <c r="A24" s="2" t="inlineStr">
        <is>
          <t xml:space="preserve">  Student density, route-mile math, and busing cost scenarios: Transport_Geo tab (backs Section 9).</t>
        </is>
      </c>
    </row>
    <row r="25">
      <c r="A25" s="3" t="inlineStr"/>
    </row>
    <row r="26">
      <c r="A26" s="4" t="inlineStr">
        <is>
          <t>CAVEAT</t>
        </is>
      </c>
    </row>
    <row r="27">
      <c r="A27" s="3" t="inlineStr">
        <is>
          <t>Prepared by a former NMES King working alongside Claude, an AI research assistant from Anthropic. Estimates are labeled; every figure</t>
        </is>
      </c>
    </row>
    <row r="28">
      <c r="A28" s="3" t="inlineStr">
        <is>
          <t>should be re-verified against the cited primary sources before 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9"/>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Principal &amp; office costs avoided</t>
        </is>
      </c>
      <c r="B51" s="14" t="n">
        <v>175000</v>
      </c>
      <c r="C51" s="2" t="inlineStr">
        <is>
          <t>Estimate</t>
        </is>
      </c>
    </row>
    <row r="52">
      <c r="A52" s="3" t="inlineStr">
        <is>
          <t>Plant/utilities/insurance avoided, net of carrying cost</t>
        </is>
      </c>
      <c r="B52" s="14" t="n">
        <v>115000</v>
      </c>
      <c r="C52" s="2" t="inlineStr">
        <is>
          <t>Estimate; assumes building sold or repurposed</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row r="69">
      <c r="A69" s="3" t="inlineStr">
        <is>
          <t>GF-borne loaded cost per certified position (v3)</t>
        </is>
      </c>
      <c r="B69" s="14" t="n">
        <v>60000</v>
      </c>
      <c r="C69" s="2" t="inlineStr">
        <is>
          <t>Published salary schedule $41,718-$71,447; state pays TRS/KEHP on-behalf; GF keeps salary + ~5%. Range $50K-$75K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17" t="inlineStr"/>
      <c r="B3" s="17" t="inlineStr">
        <is>
          <t>FY2023</t>
        </is>
      </c>
      <c r="C3" s="17" t="inlineStr">
        <is>
          <t>FY2024</t>
        </is>
      </c>
      <c r="D3" s="17" t="inlineStr">
        <is>
          <t>FY2025</t>
        </is>
      </c>
    </row>
    <row r="4">
      <c r="A4" s="3" t="inlineStr">
        <is>
          <t>Revenues before transfers</t>
        </is>
      </c>
      <c r="B4" s="18">
        <f>Assumptions!B19</f>
        <v/>
      </c>
      <c r="C4" s="18">
        <f>Assumptions!B20</f>
        <v/>
      </c>
      <c r="D4" s="18">
        <f>Assumptions!B21</f>
        <v/>
      </c>
    </row>
    <row r="5">
      <c r="A5" s="3" t="inlineStr">
        <is>
          <t>Expenditures before transfers</t>
        </is>
      </c>
      <c r="B5" s="18">
        <f>Assumptions!B22</f>
        <v/>
      </c>
      <c r="C5" s="18">
        <f>Assumptions!B23</f>
        <v/>
      </c>
      <c r="D5" s="18">
        <f>Assumptions!B24</f>
        <v/>
      </c>
    </row>
    <row r="6">
      <c r="A6" s="3" t="inlineStr">
        <is>
          <t>Operating result before transfers</t>
        </is>
      </c>
      <c r="B6" s="9">
        <f>B4-B5</f>
        <v/>
      </c>
      <c r="C6" s="9">
        <f>C4-C5</f>
        <v/>
      </c>
      <c r="D6" s="9">
        <f>D4-D5</f>
        <v/>
      </c>
    </row>
    <row r="7">
      <c r="A7" s="3" t="inlineStr">
        <is>
          <t>Net transfers &amp; other sources</t>
        </is>
      </c>
      <c r="C7" s="18">
        <f>Assumptions!B25</f>
        <v/>
      </c>
      <c r="D7" s="18">
        <f>Assumptions!B26</f>
        <v/>
      </c>
    </row>
    <row r="8">
      <c r="A8" s="3" t="inlineStr">
        <is>
          <t>Change in fund balance</t>
        </is>
      </c>
      <c r="C8" s="9">
        <f>C6+C7</f>
        <v/>
      </c>
      <c r="D8" s="9">
        <f>D6+D7</f>
        <v/>
      </c>
    </row>
    <row r="9">
      <c r="A9" s="3" t="inlineStr">
        <is>
          <t>Ending fund balance</t>
        </is>
      </c>
      <c r="B9" s="18">
        <f>Assumptions!B27</f>
        <v/>
      </c>
      <c r="C9" s="18">
        <f>Assumptions!B28</f>
        <v/>
      </c>
      <c r="D9" s="18">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9">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0">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9"/>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18">
        <f>Assumptions!B14*Assumptions!B11</f>
        <v/>
      </c>
    </row>
    <row r="7">
      <c r="A7" s="3" t="inlineStr">
        <is>
          <t>State/local share of site spending</t>
        </is>
      </c>
      <c r="B7" s="18">
        <f>Assumptions!B15*Assumptions!B11</f>
        <v/>
      </c>
    </row>
    <row r="9">
      <c r="A9" s="4" t="inlineStr">
        <is>
          <t>RECURRING SAVINGS (costs that truly disappear)</t>
        </is>
      </c>
    </row>
    <row r="10">
      <c r="A10" s="3" t="inlineStr">
        <is>
          <t>Principal &amp; office</t>
        </is>
      </c>
      <c r="B10" s="18">
        <f>Assumptions!B51</f>
        <v/>
      </c>
    </row>
    <row r="11">
      <c r="A11" s="3" t="inlineStr">
        <is>
          <t>Plant, utilities, insurance (net of carrying cost)</t>
        </is>
      </c>
      <c r="B11" s="18">
        <f>Assumptions!B52</f>
        <v/>
      </c>
    </row>
    <row r="12">
      <c r="A12" s="3" t="inlineStr">
        <is>
          <t>Teaching positions eliminated (via attrition, GF-borne cost)</t>
        </is>
      </c>
      <c r="B12" s="18">
        <f>Assumptions!B53*Assumptions!B69</f>
        <v/>
      </c>
      <c r="C12" s="21" t="inlineStr">
        <is>
          <t>v3: GF-borne $60K per position (state pays TRS/KEHP on-behalf); prior versions used the $85K all-in figure here</t>
        </is>
      </c>
    </row>
    <row r="13">
      <c r="A13" s="22" t="inlineStr">
        <is>
          <t>Gross avoidable cost</t>
        </is>
      </c>
      <c r="B13" s="23">
        <f>SUM(B10:B12)</f>
        <v/>
      </c>
    </row>
    <row r="15">
      <c r="A15" s="4" t="inlineStr">
        <is>
          <t>RECURRING OFFSETS (new costs and lost revenue)</t>
        </is>
      </c>
    </row>
    <row r="16">
      <c r="A16" s="3" t="inlineStr">
        <is>
          <t>Added busing</t>
        </is>
      </c>
      <c r="B16" s="18">
        <f>Assumptions!B54</f>
        <v/>
      </c>
    </row>
    <row r="17">
      <c r="A17" s="3" t="inlineStr">
        <is>
          <t>SEEK revenue lost to departing students (FY2027 base)</t>
        </is>
      </c>
      <c r="B17" s="18">
        <f>Assumptions!B55*Assumptions!B6</f>
        <v/>
      </c>
    </row>
    <row r="18">
      <c r="A18" s="22" t="inlineStr">
        <is>
          <t>Total offsets</t>
        </is>
      </c>
      <c r="B18" s="23">
        <f>SUM(B16:B17)</f>
        <v/>
      </c>
    </row>
    <row r="20">
      <c r="A20" s="22" t="inlineStr">
        <is>
          <t>NET RECURRING GENERAL FUND SAVING</t>
        </is>
      </c>
      <c r="B20" s="24">
        <f>B13-B18</f>
        <v/>
      </c>
    </row>
    <row r="21">
      <c r="A21" s="3" t="inlineStr">
        <is>
          <t>Share of the structural deficit ($2.65M) | of the reserve drawdown ($1.15M)</t>
        </is>
      </c>
      <c r="B21" s="19">
        <f>B20/(Assumptions!B24-Assumptions!B21)</f>
        <v/>
      </c>
      <c r="C21" s="19">
        <f>B20/GF_Summary!D16</f>
        <v/>
      </c>
    </row>
    <row r="22">
      <c r="A22" s="3" t="inlineStr">
        <is>
          <t>One-time transition cost (year one)</t>
        </is>
      </c>
      <c r="B22" s="18">
        <f>Assumptions!B56</f>
        <v/>
      </c>
    </row>
    <row r="24">
      <c r="A24" s="4" t="inlineStr">
        <is>
          <t>SENSITIVITY: STUDENTS LEAVING THE DISTRICT</t>
        </is>
      </c>
    </row>
    <row r="25">
      <c r="A25" s="22" t="inlineStr">
        <is>
          <t>Students leaving</t>
        </is>
      </c>
      <c r="B25" s="22"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V3 CORRECTION: WHAT A POSITION ACTUALLY COSTS THE GENERAL FUND</t>
        </is>
      </c>
    </row>
    <row r="34">
      <c r="A34" s="3" t="inlineStr">
        <is>
          <t>All-in cost per position (salary + state-paid on-behalf; filing basis)</t>
        </is>
      </c>
      <c r="B34" s="18">
        <f>Assumptions!B41</f>
        <v/>
      </c>
      <c r="C34" s="21" t="inlineStr">
        <is>
          <t>Correct for KDE per-pupil comparisons; the district books $6.94M of on-behalf in FY2026</t>
        </is>
      </c>
    </row>
    <row r="35">
      <c r="A35" s="3" t="inlineStr">
        <is>
          <t>GF-borne cost per position (salary + ~5%)</t>
        </is>
      </c>
      <c r="B35" s="18">
        <f>Assumptions!B69</f>
        <v/>
      </c>
      <c r="C35" s="21" t="inlineStr">
        <is>
          <t>Published schedule: Rank III $41,718 (yr 0) to Rank I $71,447 (yr 29-30). The state pays TRS and KEHP on behalf of districts; eliminating a GF position saves the GF only $50K-$75K</t>
        </is>
      </c>
    </row>
    <row r="37">
      <c r="A37" s="4" t="inlineStr">
        <is>
          <t>V3 TWO-TAILED SENSITIVITY: SEVEN LEVERS, 1,944 COMBINATIONS (backs Figure 7)</t>
        </is>
      </c>
    </row>
    <row r="38">
      <c r="A38" s="17" t="inlineStr">
        <is>
          <t>Lever (low / central / high)</t>
        </is>
      </c>
      <c r="B38" s="17" t="inlineStr">
        <is>
          <t>Low</t>
        </is>
      </c>
      <c r="C38" s="17" t="inlineStr">
        <is>
          <t>Central</t>
        </is>
      </c>
      <c r="D38" s="17" t="inlineStr">
        <is>
          <t>High</t>
        </is>
      </c>
      <c r="E38" s="17" t="inlineStr">
        <is>
          <t>Source</t>
        </is>
      </c>
    </row>
    <row r="39">
      <c r="A39" s="3" t="inlineStr">
        <is>
          <t>Positions eliminated (net of re-created sections)</t>
        </is>
      </c>
      <c r="B39" s="10" t="n">
        <v>2</v>
      </c>
      <c r="C39" s="10" t="n">
        <v>3</v>
      </c>
      <c r="D39" s="10" t="n">
        <v>5</v>
      </c>
      <c r="E39" s="2" t="inlineStr">
        <is>
          <t>Class caps: receiving schools add ~4 sections while NMES's 9 dissolve</t>
        </is>
      </c>
    </row>
    <row r="40">
      <c r="A40" s="3" t="inlineStr">
        <is>
          <t>GF cost per position</t>
        </is>
      </c>
      <c r="B40" s="8" t="n">
        <v>50000</v>
      </c>
      <c r="C40" s="8" t="n">
        <v>60000</v>
      </c>
      <c r="D40" s="8" t="n">
        <v>75000</v>
      </c>
      <c r="E40" s="2" t="inlineStr">
        <is>
          <t>Published salary schedule + on-behalf structure</t>
        </is>
      </c>
    </row>
    <row r="41">
      <c r="A41" s="3" t="inlineStr">
        <is>
          <t>Fixed avoided (mothballed / sold)</t>
        </is>
      </c>
      <c r="B41" s="8" t="n">
        <v>230000</v>
      </c>
      <c r="C41" s="8" t="n">
        <v>290000</v>
      </c>
      <c r="D41" s="8" t="n">
        <v>290000</v>
      </c>
      <c r="E41" s="2" t="inlineStr">
        <is>
          <t>Principal+office $175K; plant $115K sold, ~$55K mothballed</t>
        </is>
      </c>
    </row>
    <row r="42">
      <c r="A42" s="3" t="inlineStr">
        <is>
          <t>Added busing</t>
        </is>
      </c>
      <c r="B42" s="8" t="n">
        <v>100000</v>
      </c>
      <c r="C42" s="8" t="n">
        <v>137500</v>
      </c>
      <c r="D42" s="8" t="n">
        <v>250000</v>
      </c>
      <c r="E42" s="2" t="inlineStr">
        <is>
          <t>110 sq mi zone (federal SABS); worst-reimbursed budget line</t>
        </is>
      </c>
    </row>
    <row r="43">
      <c r="A43" s="3" t="inlineStr">
        <is>
          <t>Students leaving district</t>
        </is>
      </c>
      <c r="B43" s="10" t="n">
        <v>0</v>
      </c>
      <c r="C43" s="10" t="n">
        <v>10</v>
      </c>
      <c r="D43" s="10" t="n">
        <v>30</v>
      </c>
      <c r="E43" s="2" t="inlineStr">
        <is>
          <t>x $4,626 SEEK; Paris Ind adjacent under HB 563; Millersburg precedent</t>
        </is>
      </c>
    </row>
    <row r="44">
      <c r="A44" s="3" t="inlineStr">
        <is>
          <t>Capacity debt service triggered</t>
        </is>
      </c>
      <c r="B44" s="10" t="n">
        <v>0</v>
      </c>
      <c r="C44" s="8" t="n">
        <v>115000</v>
      </c>
      <c r="D44" s="8" t="n">
        <v>231000</v>
      </c>
      <c r="E44" s="2" t="inlineStr">
        <is>
          <t>CRES 103 over approved rating; 2021 plan prices its kitchen/cafeteria deficient today</t>
        </is>
      </c>
    </row>
    <row r="45">
      <c r="A45" s="3" t="inlineStr">
        <is>
          <t>Assessment erosion, district share</t>
        </is>
      </c>
      <c r="B45" s="10" t="n">
        <v>0</v>
      </c>
      <c r="C45" s="8" t="n">
        <v>40000</v>
      </c>
      <c r="D45" s="8" t="n">
        <v>95000</v>
      </c>
      <c r="E45" s="2" t="inlineStr">
        <is>
          <t>Millersburg-calibrated; PVA records ask pending</t>
        </is>
      </c>
    </row>
    <row r="47">
      <c r="A47" s="3" t="inlineStr">
        <is>
          <t>Central case: net yearly effect</t>
        </is>
      </c>
      <c r="B47" s="23">
        <f>C41+C39*C40-C42-C43*Assumptions!B6-C44-C45</f>
        <v/>
      </c>
      <c r="C47" s="2" t="inlineStr">
        <is>
          <t>$131,240: about 5 percent of the structural deficit</t>
        </is>
      </c>
    </row>
    <row r="48">
      <c r="A48" s="3" t="inlineStr">
        <is>
          <t>Unfavorable tail (all levers adverse)</t>
        </is>
      </c>
      <c r="B48" s="9">
        <f>B41+B39*B40-D42-D43*Assumptions!B6-D44-D45</f>
        <v/>
      </c>
      <c r="C48" s="2" t="inlineStr">
        <is>
          <t>-$384,780 a year: the closure loses money</t>
        </is>
      </c>
    </row>
    <row r="49">
      <c r="A49" s="3" t="inlineStr">
        <is>
          <t>Favorable tail (all levers favorable)</t>
        </is>
      </c>
      <c r="B49" s="9">
        <f>D41+D39*D40-B42-B43*Assumptions!B6-B44-B45</f>
        <v/>
      </c>
      <c r="C49" s="2" t="inlineStr">
        <is>
          <t>+$565,000 a year: the ceiling, and still below the plan's $800K-$1M requirement</t>
        </is>
      </c>
    </row>
    <row r="50">
      <c r="A50" s="21" t="inlineStr">
        <is>
          <t>Distribution of all 1,944 combinations, equal weights, enumerated by build/closure_grid.py: positions take four values (2, 3, 4, 5), fixed-avoided takes two ($230,000 mothballed, $290,000 sold), and the five other levers three each (4 x 2 x 3^5 = 1,944). Median +$91,240; middle half -$17,500 to +$200,000; 28.8 percent (559 of 1,944, published as 29 percent) of scenarios negative. One-time transition costs $100K-$300K in year one are additional.</t>
        </is>
      </c>
    </row>
    <row r="52">
      <c r="A52" s="4" t="inlineStr">
        <is>
          <t>HOSTILE PAPER CASE, PUBLISHED WITH ITS REFUTATION</t>
        </is>
      </c>
    </row>
    <row r="53">
      <c r="A53" s="3" t="inlineStr">
        <is>
          <t>Every absorbed student priced at the empirical $9,848 marginal</t>
        </is>
      </c>
      <c r="B53" s="9">
        <f>Assumptions!B14*Assumptions!B11-128*Redistricting!B111-137500-10*Assumptions!B6</f>
        <v/>
      </c>
      <c r="C53" s="21" t="inlineStr">
        <is>
          <t>About $1.03M on paper. But it requires Cane Ridge at 525 students against its approved 422 rating and Bourbon Central at 555 against 521: exactly the overcrowding the $14M renovation exists to cure. The savings pre-spend the bond.</t>
        </is>
      </c>
    </row>
    <row r="55">
      <c r="A55" s="4" t="inlineStr">
        <is>
          <t>MILLERSBURG, 2007: THE COUNTY'S OWN PRECEDENT (backs Figure 8)</t>
        </is>
      </c>
    </row>
    <row r="56">
      <c r="A56" s="3" t="inlineStr">
        <is>
          <t>Millersburg Elementary final enrollment (fall 2005; last operated SY 2005-06, closed status in the 2006-07 federal CCD file; distinct from the private military institute, which closed permanently July 2006)</t>
        </is>
      </c>
      <c r="B56" s="10" t="n">
        <v>119</v>
      </c>
      <c r="C56" s="21" t="inlineStr">
        <is>
          <t>NCES CCD; series 153-133-145-139-137-127-129-119; closed 2007; students to Cane Ridge (2007 addition)</t>
        </is>
      </c>
    </row>
    <row r="57">
      <c r="A57" s="3" t="inlineStr">
        <is>
          <t>Millersburg population 1980/1990/2000/2010/2020</t>
        </is>
      </c>
      <c r="B57" s="2" t="inlineStr">
        <is>
          <t>987 / 937 / 842 / 792 / 747</t>
        </is>
      </c>
      <c r="C57" s="21" t="inlineStr">
        <is>
          <t>Decennial census; down 11% from 2000 while the county grew 4.6% (19,360 to 20,252)</t>
        </is>
      </c>
    </row>
    <row r="58">
      <c r="A58" s="3" t="inlineStr">
        <is>
          <t>Town-budget blow from the 2013 Joy Global closure</t>
        </is>
      </c>
      <c r="B58" s="8" t="n">
        <v>100000</v>
      </c>
      <c r="C58" s="21" t="inlineStr">
        <is>
          <t>Community Ventures account: 197 jobs lost; $100K/yr payroll tax, half the town budget</t>
        </is>
      </c>
    </row>
    <row r="59">
      <c r="A59" s="21" t="inlineStr">
        <is>
          <t>Records asks: the 2006 closure's savings analysis and realized savings; the Millersburg Elementary building's deed, sale price, and current condition; PVA assessed-value history Millersburg vs county.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5"/>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t>
        </is>
      </c>
    </row>
    <row r="2">
      <c r="A2" s="2" t="inlineStr">
        <is>
          <t>SEEK funding follows nonresident students since July 2022; no agreement from the home district is required.</t>
        </is>
      </c>
    </row>
    <row r="4">
      <c r="A4" s="17" t="inlineStr"/>
      <c r="B4" s="17" t="inlineStr">
        <is>
          <t>FY2027</t>
        </is>
      </c>
      <c r="C4" s="17" t="inlineStr">
        <is>
          <t>FY2028</t>
        </is>
      </c>
      <c r="D4" s="17" t="inlineStr">
        <is>
          <t>FY2029</t>
        </is>
      </c>
    </row>
    <row r="5">
      <c r="A5" s="3" t="inlineStr">
        <is>
          <t>Transfer students (scenario)</t>
        </is>
      </c>
      <c r="B5" s="25">
        <f>Assumptions!B59</f>
        <v/>
      </c>
      <c r="C5" s="25">
        <f>Assumptions!B60</f>
        <v/>
      </c>
      <c r="D5" s="25">
        <f>Assumptions!B61</f>
        <v/>
      </c>
    </row>
    <row r="6">
      <c r="A6" s="3" t="inlineStr">
        <is>
          <t>Enrolled (capped at open seats)</t>
        </is>
      </c>
      <c r="B6" s="11">
        <f>MIN(B5,Assumptions!$B$13)</f>
        <v/>
      </c>
      <c r="C6" s="11">
        <f>MIN(C5,Assumptions!$B$13)</f>
        <v/>
      </c>
      <c r="D6" s="11">
        <f>MIN(D5,Assumptions!$B$13)</f>
        <v/>
      </c>
    </row>
    <row r="7">
      <c r="A7" s="3" t="inlineStr">
        <is>
          <t>SEEK base per pupil</t>
        </is>
      </c>
      <c r="B7" s="18">
        <f>Assumptions!B6</f>
        <v/>
      </c>
      <c r="C7" s="18">
        <f>Assumptions!B7</f>
        <v/>
      </c>
      <c r="D7" s="18">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IF(B6&gt;Assumptions!$B$63,Assumptions!$B$41,0)</f>
        <v/>
      </c>
      <c r="C10" s="9">
        <f>IF(C6&gt;Assumptions!$B$63,Assumptions!$B$41,0)</f>
        <v/>
      </c>
      <c r="D10" s="9">
        <f>IF(D6&gt;Assumptions!$B$63,Assumptions!$B$41,0)</f>
        <v/>
      </c>
    </row>
    <row r="11">
      <c r="A11" s="22" t="inlineStr">
        <is>
          <t>Net new recurring revenue</t>
        </is>
      </c>
      <c r="B11" s="24">
        <f>B8-B9-B10</f>
        <v/>
      </c>
      <c r="C11" s="24">
        <f>C8-C9-C10</f>
        <v/>
      </c>
      <c r="D11" s="24">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35"/>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district holds the geocoded student counts and routing data a true optimization needs; releasing them is a records ask in the report.</t>
        </is>
      </c>
    </row>
    <row r="4">
      <c r="A4" s="4" t="inlineStr">
        <is>
          <t>CURRENT ELEMENTARY MAP (2024-25 counts as cited in report Sections 4 and 9)</t>
        </is>
      </c>
    </row>
    <row r="5">
      <c r="A5" s="3" t="inlineStr">
        <is>
          <t>NMES enrollment</t>
        </is>
      </c>
      <c r="B5" s="25">
        <f>Assumptions!B11</f>
        <v/>
      </c>
    </row>
    <row r="6">
      <c r="A6" s="3" t="inlineStr">
        <is>
          <t>NMES rated capacity</t>
        </is>
      </c>
      <c r="B6" s="25">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classroom sections</t>
        </is>
      </c>
      <c r="B20" s="10" t="n">
        <v>9</v>
      </c>
      <c r="C20" s="2" t="inlineStr">
        <is>
          <t>9.41 classroom FTE, NCES; K-5 across nine homerooms</t>
        </is>
      </c>
    </row>
    <row r="21">
      <c r="A21" s="3" t="inlineStr">
        <is>
          <t>Average class size today</t>
        </is>
      </c>
      <c r="B21" s="20">
        <f>B5/B20</f>
        <v/>
      </c>
    </row>
    <row r="22">
      <c r="A22" s="3" t="inlineStr">
        <is>
          <t>Average class size at capacity</t>
        </is>
      </c>
      <c r="B22" s="20">
        <f>B14/B20</f>
        <v/>
      </c>
    </row>
    <row r="23">
      <c r="A23" s="2" t="inlineStr">
        <is>
          <t>Statutory caps (KRS 157.360): 24 in K-3, 28 in grade 4, 29 in grades 5-6. The scenario adds no NMES teachers.</t>
        </is>
      </c>
    </row>
    <row r="25">
      <c r="A25" s="4" t="inlineStr">
        <is>
          <t>RECURRING DOLLARS</t>
        </is>
      </c>
    </row>
    <row r="26">
      <c r="A26" s="3" t="inlineStr">
        <is>
          <t>New SEEK revenue from cross-county transfers (FY2027 base)</t>
        </is>
      </c>
      <c r="B26" s="18">
        <f>B13*Assumptions!B6</f>
        <v/>
      </c>
    </row>
    <row r="27">
      <c r="A27" s="3" t="inlineStr">
        <is>
          <t>Variable cost of all added students</t>
        </is>
      </c>
      <c r="B27" s="18">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2" t="inlineStr">
        <is>
          <t>Net recurring benefit, low (avoided sections priced at the GF-borne $60K central, per the v3 on-behalf correction; range $50-75K)</t>
        </is>
      </c>
      <c r="B30" s="24">
        <f>B26-B27+B28*Assumptions!B69</f>
        <v/>
      </c>
    </row>
    <row r="31">
      <c r="A31" s="22" t="inlineStr">
        <is>
          <t>Net recurring benefit, high (two sections at the same GF-borne rate)</t>
        </is>
      </c>
      <c r="B31" s="23">
        <f>B26-B27+B29*Assumptions!B69</f>
        <v/>
      </c>
    </row>
    <row r="33">
      <c r="A33" s="4" t="inlineStr">
        <is>
          <t>PER-STUDENT ARITHMETIC (the number the closure argument leans on)</t>
        </is>
      </c>
    </row>
    <row r="34">
      <c r="A34" s="3" t="inlineStr">
        <is>
          <t>NMES site spending today</t>
        </is>
      </c>
      <c r="B34" s="18">
        <f>Assumptions!B14*Assumptions!B11</f>
        <v/>
      </c>
    </row>
    <row r="35">
      <c r="A35" s="3" t="inlineStr">
        <is>
          <t>Per student today</t>
        </is>
      </c>
      <c r="B35" s="18">
        <f>Assumptions!B14</f>
        <v/>
      </c>
    </row>
    <row r="36">
      <c r="A36" s="3" t="inlineStr">
        <is>
          <t>Per student at capacity (site cost plus variable cost, over 174)</t>
        </is>
      </c>
      <c r="B36" s="9">
        <f>(B34+(B12+B13)*Assumptions!B62)/B14</f>
        <v/>
      </c>
    </row>
    <row r="37">
      <c r="A37" s="3" t="inlineStr">
        <is>
          <t>Change</t>
        </is>
      </c>
      <c r="B37" s="19">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grade-by-grade capacities at Bourbon Central and Cane Ridge are a records ask (report Question 3).</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row r="45">
      <c r="A45" s="4" t="inlineStr">
        <is>
          <t>FILLED-TO-CAPACITY PER-PUPIL COST VS THE RECEIVING SCHOOLS (KDE 2023-24 filings)</t>
        </is>
      </c>
    </row>
    <row r="46">
      <c r="A46" s="3" t="inlineStr">
        <is>
          <t>Bourbon Central per pupil today</t>
        </is>
      </c>
      <c r="B46" s="8" t="n">
        <v>18131</v>
      </c>
      <c r="C46" s="2" t="inlineStr">
        <is>
          <t>District's own KDE school-level filing, 2023-24</t>
        </is>
      </c>
    </row>
    <row r="47">
      <c r="A47" s="3" t="inlineStr">
        <is>
          <t>Cane Ridge per pupil today</t>
        </is>
      </c>
      <c r="B47" s="8" t="n">
        <v>18670</v>
      </c>
      <c r="C47" s="2" t="inlineStr">
        <is>
          <t>Same filing; Cane Ridge runs 31 students over its rated capacity</t>
        </is>
      </c>
    </row>
    <row r="48">
      <c r="A48" s="3" t="inlineStr">
        <is>
          <t>NMES per pupil today</t>
        </is>
      </c>
      <c r="B48" s="18">
        <f>Assumptions!B14</f>
        <v/>
      </c>
    </row>
    <row r="49">
      <c r="A49" s="3" t="inlineStr">
        <is>
          <t>NMES filled to 174 (state-approved rating), no added teachers</t>
        </is>
      </c>
      <c r="B49" s="9">
        <f>(B34+(B6-B5)*Assumptions!B62)/B6</f>
        <v/>
      </c>
      <c r="C49" s="21" t="inlineStr">
        <is>
          <t>Nine existing homerooms average 19.3 students at 174, inside every KRS 157.360 cap; only variable costs added</t>
        </is>
      </c>
    </row>
    <row r="50">
      <c r="A50" s="3" t="inlineStr">
        <is>
          <t>NMES filled to 174, conservative (two teachers added anyway)</t>
        </is>
      </c>
      <c r="B50" s="9">
        <f>(B34+2*Assumptions!B41+(B6-B5)*Assumptions!B62)/B6</f>
        <v/>
      </c>
      <c r="C50" s="21" t="inlineStr">
        <is>
          <t>Adds two loaded certified positions even though class sizes do not require them</t>
        </is>
      </c>
    </row>
    <row r="51">
      <c r="A51" s="3" t="inlineStr">
        <is>
          <t>NMES filled to 154 (2026 draft plan rating), no added teachers</t>
        </is>
      </c>
      <c r="B51" s="9">
        <f>(B34+(154-B5)*Assumptions!B62)/154</f>
        <v/>
      </c>
      <c r="C51" s="21" t="inlineStr">
        <is>
          <t>Same math at the draft plan's lower rating; class sizes average 17.1</t>
        </is>
      </c>
    </row>
    <row r="52">
      <c r="A52" s="22" t="inlineStr">
        <is>
          <t>NMES at 174 vs cheapest receiving school</t>
        </is>
      </c>
      <c r="B52" s="24">
        <f>B49-MIN(B46,B47)</f>
        <v/>
      </c>
      <c r="C52" s="21" t="inlineStr">
        <is>
          <t>Negative = NMES becomes the cheapest elementary school in the district</t>
        </is>
      </c>
    </row>
    <row r="53">
      <c r="A53" s="21" t="inlineStr">
        <is>
          <t>Filling the school reverses the cost argument: the premium exists because fixed costs sit on 128 students; spread over 174 the same school costs less per child than either receiving school, and the transfer students free the exact seats Cane Ridge is over capacity by.</t>
        </is>
      </c>
    </row>
    <row r="55">
      <c r="A55" s="4" t="inlineStr">
        <is>
          <t>SENSITIVITY: IS THE CAPACITY RESULT STRUCTURAL, OR AN ARTIFACT OF ASSUMPTIONS?</t>
        </is>
      </c>
    </row>
    <row r="56">
      <c r="A56" s="21" t="inlineStr">
        <is>
          <t>The only lever that matters is the marginal cost of each added student. Break-even values below are the marginal cost at which NMES at capacity stops being cheaper. Compare them to reality: added supplies and materials run a few hundred dollars; even hiring staff in proportion to students costs roughly half the average, because the average includes the principal, building, and staff already paid for.</t>
        </is>
      </c>
    </row>
    <row r="57">
      <c r="A57" s="3" t="inlineStr">
        <is>
          <t>Break-even marginal cost, NMES at 174 vs Bourbon Central</t>
        </is>
      </c>
      <c r="B57" s="9">
        <f>(B46*B6-B34)/(B6-B5)</f>
        <v/>
      </c>
      <c r="C57" s="21" t="inlineStr">
        <is>
          <t>NMES stays cheaper than Bourbon Central for any marginal cost below this</t>
        </is>
      </c>
    </row>
    <row r="58">
      <c r="A58" s="3" t="inlineStr">
        <is>
          <t>Break-even marginal cost, NMES at 174 vs Cane Ridge</t>
        </is>
      </c>
      <c r="B58" s="9">
        <f>(B47*B6-B34)/(B6-B5)</f>
        <v/>
      </c>
    </row>
    <row r="59">
      <c r="A59" s="3" t="inlineStr">
        <is>
          <t>Break-even marginal cost, NMES at 154 vs Bourbon Central</t>
        </is>
      </c>
      <c r="B59" s="9">
        <f>(B46*154-B34)/(154-B5)</f>
        <v/>
      </c>
    </row>
    <row r="60">
      <c r="A60" s="3" t="inlineStr">
        <is>
          <t>Break-even marginal cost, NMES at 154 vs Cane Ridge</t>
        </is>
      </c>
      <c r="B60" s="9">
        <f>(B47*154-B34)/(154-B5)</f>
        <v/>
      </c>
    </row>
    <row r="61">
      <c r="A61" s="3" t="inlineStr">
        <is>
          <t>Reference: NMES's ENTIRE state and local spending per pupil (fixed costs included)</t>
        </is>
      </c>
      <c r="B61" s="18">
        <f>Assumptions!B15</f>
        <v/>
      </c>
      <c r="C61" s="21" t="inlineStr">
        <is>
          <t>Even if every added student cost this full amount, which is impossible since it includes the fixed costs already paid, NMES at 174 still comes in under both receiving schools</t>
        </is>
      </c>
    </row>
    <row r="63">
      <c r="A63" s="4" t="inlineStr">
        <is>
          <t>PER-PUPIL GRID ACROSS MARGINAL-COST ASSUMPTIONS</t>
        </is>
      </c>
    </row>
    <row r="64">
      <c r="A64" s="3" t="inlineStr">
        <is>
          <t>Marginal cost per added student</t>
        </is>
      </c>
      <c r="B64" s="17" t="inlineStr">
        <is>
          <t>At 174</t>
        </is>
      </c>
      <c r="C64" s="17" t="inlineStr">
        <is>
          <t>At 154</t>
        </is>
      </c>
    </row>
    <row r="65">
      <c r="A65" s="8" t="n">
        <v>400</v>
      </c>
      <c r="B65" s="9">
        <f>(B$34+(B$6-B$5)*A65)/B$6</f>
        <v/>
      </c>
      <c r="C65" s="9">
        <f>(B$34+(154-B$5)*A65)/154</f>
        <v/>
      </c>
    </row>
    <row r="66">
      <c r="A66" s="8" t="n">
        <v>2500</v>
      </c>
      <c r="B66" s="9">
        <f>(B$34+(B$6-B$5)*A66)/B$6</f>
        <v/>
      </c>
      <c r="C66" s="9">
        <f>(B$34+(154-B$5)*A66)/154</f>
        <v/>
      </c>
    </row>
    <row r="67">
      <c r="A67" s="8" t="n">
        <v>5000</v>
      </c>
      <c r="B67" s="9">
        <f>(B$34+(B$6-B$5)*A67)/B$6</f>
        <v/>
      </c>
      <c r="C67" s="9">
        <f>(B$34+(154-B$5)*A67)/154</f>
        <v/>
      </c>
    </row>
    <row r="68">
      <c r="A68" s="8" t="n">
        <v>10000</v>
      </c>
      <c r="B68" s="9">
        <f>(B$34+(B$6-B$5)*A68)/B$6</f>
        <v/>
      </c>
      <c r="C68" s="9">
        <f>(B$34+(154-B$5)*A68)/154</f>
        <v/>
      </c>
    </row>
    <row r="69">
      <c r="A69" s="8" t="n">
        <v>14173</v>
      </c>
      <c r="B69" s="9">
        <f>(B$34+(B$6-B$5)*A69)/B$6</f>
        <v/>
      </c>
      <c r="C69" s="9">
        <f>(B$34+(154-B$5)*A69)/154</f>
        <v/>
      </c>
    </row>
    <row r="70">
      <c r="A70" s="21" t="inlineStr">
        <is>
          <t>Receiving schools today: Bourbon Central $18,131, Cane Ridge $18,670. At the state-approved 174 rating, NMES undercuts both across the entire grid, including the impossible full-average case. At the draft plan's 154 rating it holds for any marginal cost under about $12,000, roughly thirty times the realistic figure. Verdict: structural at 174, robust at 154.</t>
        </is>
      </c>
    </row>
    <row r="71">
      <c r="A71" s="21" t="inlineStr">
        <is>
          <t>Current enrollment is 128 (NCES CCD, 2024-25); filling to 174 adds 46 students, the figure used throughout this workbook and the grid above.</t>
        </is>
      </c>
    </row>
    <row r="73">
      <c r="A73" s="4" t="inlineStr">
        <is>
          <t>FIVE YEARS OF THE SAME TEST (KDE school-level filings, 2019-20 to 2023-24; backs Figure 6)</t>
        </is>
      </c>
    </row>
    <row r="74">
      <c r="A74" s="17" t="inlineStr">
        <is>
          <t>Year</t>
        </is>
      </c>
      <c r="B74" s="17" t="inlineStr">
        <is>
          <t>NMES members</t>
        </is>
      </c>
      <c r="C74" s="17" t="inlineStr">
        <is>
          <t>NMES $/pupil</t>
        </is>
      </c>
      <c r="D74" s="17" t="inlineStr">
        <is>
          <t>BCES $/pupil</t>
        </is>
      </c>
      <c r="E74" s="17" t="inlineStr">
        <is>
          <t>CRES $/pupil</t>
        </is>
      </c>
      <c r="F74" s="17" t="inlineStr">
        <is>
          <t>NMES at 174</t>
        </is>
      </c>
      <c r="G74" s="17" t="inlineStr">
        <is>
          <t>NMES at 154</t>
        </is>
      </c>
    </row>
    <row r="75">
      <c r="A75" s="3" t="inlineStr">
        <is>
          <t>2019-20</t>
        </is>
      </c>
      <c r="B75" s="10" t="n">
        <v>166</v>
      </c>
      <c r="C75" s="8" t="n">
        <v>12903</v>
      </c>
      <c r="D75" s="8" t="n">
        <v>12159</v>
      </c>
      <c r="E75" s="8" t="n">
        <v>12168</v>
      </c>
      <c r="F75" s="9">
        <f>(C75*B75+(174-B75)*Assumptions!B62)/174</f>
        <v/>
      </c>
      <c r="G75" s="2" t="inlineStr">
        <is>
          <t>n/a: enrolled above 154</t>
        </is>
      </c>
    </row>
    <row r="76">
      <c r="A76" s="3" t="inlineStr">
        <is>
          <t>2020-21</t>
        </is>
      </c>
      <c r="B76" s="10" t="n">
        <v>160</v>
      </c>
      <c r="C76" s="8" t="n">
        <v>15406</v>
      </c>
      <c r="D76" s="8" t="n">
        <v>14011</v>
      </c>
      <c r="E76" s="8" t="n">
        <v>14621</v>
      </c>
      <c r="F76" s="9">
        <f>(C76*B76+(174-B76)*Assumptions!B62)/174</f>
        <v/>
      </c>
      <c r="G76" s="2" t="inlineStr">
        <is>
          <t>n/a: enrolled above 154</t>
        </is>
      </c>
    </row>
    <row r="77">
      <c r="A77" s="3" t="inlineStr">
        <is>
          <t>2021-22</t>
        </is>
      </c>
      <c r="B77" s="10" t="n">
        <v>146</v>
      </c>
      <c r="C77" s="8" t="n">
        <v>19080</v>
      </c>
      <c r="D77" s="8" t="n">
        <v>15619</v>
      </c>
      <c r="E77" s="8" t="n">
        <v>16137</v>
      </c>
      <c r="F77" s="9">
        <f>(C77*B77+(174-B77)*Assumptions!B62)/174</f>
        <v/>
      </c>
      <c r="G77" s="9">
        <f>(C77*B77+(154-B77)*Assumptions!B62)/154</f>
        <v/>
      </c>
    </row>
    <row r="78">
      <c r="A78" s="3" t="inlineStr">
        <is>
          <t>2022-23</t>
        </is>
      </c>
      <c r="B78" s="10" t="n">
        <v>144</v>
      </c>
      <c r="C78" s="8" t="n">
        <v>19003</v>
      </c>
      <c r="D78" s="8" t="n">
        <v>17410</v>
      </c>
      <c r="E78" s="8" t="n">
        <v>17403</v>
      </c>
      <c r="F78" s="9">
        <f>(C78*B78+(174-B78)*Assumptions!B62)/174</f>
        <v/>
      </c>
      <c r="G78" s="9">
        <f>(C78*B78+(154-B78)*Assumptions!B62)/154</f>
        <v/>
      </c>
    </row>
    <row r="79">
      <c r="A79" s="3" t="inlineStr">
        <is>
          <t>2023-24</t>
        </is>
      </c>
      <c r="B79" s="10" t="n">
        <v>128</v>
      </c>
      <c r="C79" s="8" t="n">
        <v>19348</v>
      </c>
      <c r="D79" s="8" t="n">
        <v>18131</v>
      </c>
      <c r="E79" s="8" t="n">
        <v>18670</v>
      </c>
      <c r="F79" s="9">
        <f>(C79*B79+(174-B79)*Assumptions!B62)/174</f>
        <v/>
      </c>
      <c r="G79" s="9">
        <f>(C79*B79+(154-B79)*Assumptions!B62)/154</f>
        <v/>
      </c>
    </row>
    <row r="81">
      <c r="A81" s="21" t="inlineStr">
        <is>
          <t>Honest reading (corrected 7/26): at 174 the counterfactual is within 1 to 3 percent of the cheapest school in 2019-22, a tie, and decisively below both schools in 2022-23 and 2023-24. At the draft plan's 154 rating it is cheapest on the 2023-24 filing; in 2019-20 and 2020-21 the school enrolled above 154, the capacity the draft now assigns it. NMES's total site spending grew 16 percent over the five years, against 37 percent at Bourbon Central and 47 percent at Cane Ridge; only the divisor changed.</t>
        </is>
      </c>
    </row>
    <row r="83">
      <c r="A83" s="4" t="inlineStr">
        <is>
          <t>SYMMETRY CHECK: THE SENDERS' PER-PUPIL AFTER THE MOVE (2023-24 basis)</t>
        </is>
      </c>
    </row>
    <row r="84">
      <c r="A84" s="21" t="inlineStr">
        <is>
          <t>Per-pupil rises at the senders for the same denominator reason it falls at NMES; a pure shuffle leaves total district spending nearly unchanged in either direction. The comparison below is the honest post-move one.</t>
        </is>
      </c>
    </row>
    <row r="85">
      <c r="A85" s="3" t="inlineStr">
        <is>
          <t>Bourbon Central after sending 15 rezoned students</t>
        </is>
      </c>
      <c r="B85" s="9">
        <f>(8902321-15*Assumptions!B62)/(491-15)</f>
        <v/>
      </c>
      <c r="C85" s="21" t="inlineStr">
        <is>
          <t>2023-24 filing: $8,902,321 across 491 members; loses only variable cost per departing student</t>
        </is>
      </c>
    </row>
    <row r="86">
      <c r="A86" s="3" t="inlineStr">
        <is>
          <t>Cane Ridge after sending 15 rezoned students</t>
        </is>
      </c>
      <c r="B86" s="9">
        <f>(8606870-15*Assumptions!B62)/(461-15)</f>
        <v/>
      </c>
    </row>
    <row r="87">
      <c r="A87" s="3" t="inlineStr">
        <is>
          <t>Stress case: all 46 drawn in-county, 23 from each sender</t>
        </is>
      </c>
      <c r="B87" s="9">
        <f>(8902321-23*Assumptions!B62)/(491-23)</f>
        <v/>
      </c>
      <c r="C87" s="2" t="inlineStr">
        <is>
          <t>Bourbon Central; Cane Ridge in the next row</t>
        </is>
      </c>
    </row>
    <row r="88">
      <c r="A88" s="3" t="inlineStr">
        <is>
          <t>Stress case, Cane Ridge</t>
        </is>
      </c>
      <c r="B88" s="9">
        <f>(8606870-23*Assumptions!B62)/(461-23)</f>
        <v/>
      </c>
    </row>
    <row r="89">
      <c r="A89" s="21" t="inlineStr">
        <is>
          <t>NMES at 174 stays the cheapest of the three after the move, by a wider margin than before it (about $4,400 vs $3,800). The district-level cash case is booked separately and conservatively above as the net recurring benefit: consolidated sections at the senders, HB 563 SEEK revenue from out-of-county transfers, and capacity relief at Cane Ridge, which runs 31 students over its rating. The same symmetry runs the other way: closing NMES would lower the receiving schools' per-pupil optics while saving almost nothing in total, which is the closure case's weakness in one sentence.</t>
        </is>
      </c>
    </row>
    <row r="91">
      <c r="A91" s="4" t="inlineStr">
        <is>
          <t>VARIABLE-COST VALIDATION, BOTH DIRECTIONS (added 7/26)</t>
        </is>
      </c>
    </row>
    <row r="92">
      <c r="A92" s="21" t="inlineStr">
        <is>
          <t>Class-cap staffing check (KRS 157.360: 24 in K-3, 28 in grade 4, 29 in grade 5). At an even grade mix, 174 students need about 11 sections against 9 existing rooms, and 154 need about 10; the supplies-only counterfactual is therefore the BEST case, and the staffed cases below are the honest base cases. Grade-by-grade enrollment is a records ask; a mix weighted to grades 4-5 needs fewer sections.</t>
        </is>
      </c>
    </row>
    <row r="93">
      <c r="A93" s="3" t="inlineStr">
        <is>
          <t>NMES at 174 with two added sections (base case)</t>
        </is>
      </c>
      <c r="B93" s="9">
        <f>(B34+2*Assumptions!B41+(B6-B5)*Assumptions!B62)/B6</f>
        <v/>
      </c>
      <c r="C93" s="21" t="inlineStr">
        <is>
          <t>Same as the conservative row above; cheapest of the three on the 2023-24 filing</t>
        </is>
      </c>
    </row>
    <row r="94">
      <c r="A94" s="3" t="inlineStr">
        <is>
          <t>NMES at 154 with one added section (base case)</t>
        </is>
      </c>
      <c r="B94" s="9">
        <f>(B34+Assumptions!B41+(154-B5)*Assumptions!B62)/154</f>
        <v/>
      </c>
    </row>
    <row r="95">
      <c r="A95" s="3" t="inlineStr">
        <is>
          <t>Long-run bound at 174: every added student at the full $14,173 S/L average</t>
        </is>
      </c>
      <c r="B95" s="9">
        <f>(B34+(B6-B5)*Assumptions!B15)/B6</f>
        <v/>
      </c>
      <c r="C95" s="21" t="inlineStr">
        <is>
          <t>Still under both receiving schools on the 2023-24 filing. At 154 the same bound gives $18,474 and fails against Bourbon Central, consistent with the break-even rows above</t>
        </is>
      </c>
    </row>
    <row r="96">
      <c r="A96" s="3" t="inlineStr">
        <is>
          <t>Senders after 15 out each WITH one consolidated section (favorable to senders)</t>
        </is>
      </c>
      <c r="B96" s="9">
        <f>(8902321-15*Assumptions!B62-Assumptions!B41)/(491-15)</f>
        <v/>
      </c>
      <c r="C96" s="21" t="inlineStr">
        <is>
          <t>Bourbon Central; Cane Ridge next row. Consolidation lowers sender per-pupil AND is the source of the district-level saving; do not count it twice</t>
        </is>
      </c>
    </row>
    <row r="97">
      <c r="A97" s="3" t="inlineStr">
        <is>
          <t>Cane Ridge, same treatment</t>
        </is>
      </c>
      <c r="B97" s="9">
        <f>(8606870-15*Assumptions!B62-Assumptions!B41)/(461-15)</f>
        <v/>
      </c>
    </row>
    <row r="98">
      <c r="A98" s="21" t="inlineStr">
        <is>
          <t>The same discipline applies to the closure direction: 128 arriving students trigger the same class caps at the receiving schools, adding sections in several grades, which is exactly why the closure's net effect is minus $385K to plus $565K (median $91K) and not the school's $2.5M gross cost.</t>
        </is>
      </c>
    </row>
    <row r="100">
      <c r="A100" s="4" t="inlineStr">
        <is>
          <t>FAIR TEST: EVERY SCHOOL FILLED TO ITS RATED CAPACITY, SEVEN CAPACITY SETS (backs Figure 6)</t>
        </is>
      </c>
    </row>
    <row r="101">
      <c r="A101" s="21" t="inlineStr">
        <is>
          <t>Step costs: $400 per student added or removed, plus or minus $85,000 per section vs today's staffing (even K-5 mix under KRS 157.360). Section deltas below are precomputed from that rule; capacities from the named documents, all archived in build/.</t>
        </is>
      </c>
    </row>
    <row r="102">
      <c r="A102" s="17" t="inlineStr">
        <is>
          <t>Scenario (NMES/BCES/CRES caps)</t>
        </is>
      </c>
      <c r="B102" s="17" t="inlineStr">
        <is>
          <t>NMES</t>
        </is>
      </c>
      <c r="C102" s="17" t="inlineStr">
        <is>
          <t>BCES</t>
        </is>
      </c>
      <c r="D102" s="17" t="inlineStr">
        <is>
          <t>CRES</t>
        </is>
      </c>
      <c r="E102" s="17" t="inlineStr">
        <is>
          <t>Cheapest</t>
        </is>
      </c>
    </row>
    <row r="103">
      <c r="A103" s="3" t="inlineStr">
        <is>
          <t>Actual today (2023-24 filing)</t>
        </is>
      </c>
      <c r="B103" s="8" t="n">
        <v>19348</v>
      </c>
      <c r="C103" s="8" t="n">
        <v>18131</v>
      </c>
      <c r="D103" s="8" t="n">
        <v>18670</v>
      </c>
      <c r="E103" s="2" t="inlineStr">
        <is>
          <t>BCES</t>
        </is>
      </c>
    </row>
    <row r="104">
      <c r="A104" s="3" t="inlineStr">
        <is>
          <t>2013 plan, KBE approved (198/564/500)</t>
        </is>
      </c>
      <c r="B104" s="8" t="n">
        <v>13937</v>
      </c>
      <c r="C104" s="8" t="n">
        <v>16137</v>
      </c>
      <c r="D104" s="8" t="n">
        <v>17245</v>
      </c>
      <c r="E104" s="2" t="inlineStr">
        <is>
          <t>NMES</t>
        </is>
      </c>
    </row>
    <row r="105">
      <c r="A105" s="3" t="inlineStr">
        <is>
          <t>2017 plan, KBE approved (152/611/550)</t>
        </is>
      </c>
      <c r="B105" s="8" t="n">
        <v>16915</v>
      </c>
      <c r="C105" s="8" t="n">
        <v>15483</v>
      </c>
      <c r="D105" s="8" t="n">
        <v>16023</v>
      </c>
      <c r="E105" s="2" t="inlineStr">
        <is>
          <t>BCES</t>
        </is>
      </c>
    </row>
    <row r="106">
      <c r="A106" s="3" t="inlineStr">
        <is>
          <t>2021 plan, KBE approved, in force (174/521/422)</t>
        </is>
      </c>
      <c r="B106" s="8" t="n">
        <v>15316</v>
      </c>
      <c r="C106" s="8" t="n">
        <v>17273</v>
      </c>
      <c r="D106" s="8" t="n">
        <v>19553</v>
      </c>
      <c r="E106" s="2" t="inlineStr">
        <is>
          <t>NMES</t>
        </is>
      </c>
    </row>
    <row r="107">
      <c r="A107" s="3" t="inlineStr">
        <is>
          <t>Peak enrollment 2005-2025 (224/620/495)</t>
        </is>
      </c>
      <c r="B107" s="8" t="n">
        <v>12366</v>
      </c>
      <c r="C107" s="8" t="n">
        <v>15264</v>
      </c>
      <c r="D107" s="8" t="n">
        <v>17415</v>
      </c>
      <c r="E107" s="2" t="inlineStr">
        <is>
          <t>NMES</t>
        </is>
      </c>
    </row>
    <row r="108">
      <c r="A108" s="3" t="inlineStr">
        <is>
          <t>2026 KFICS architect slides (154/499/397)</t>
        </is>
      </c>
      <c r="B108" s="8" t="n">
        <v>16701</v>
      </c>
      <c r="C108" s="8" t="n">
        <v>17847</v>
      </c>
      <c r="D108" s="8" t="n">
        <v>20759</v>
      </c>
      <c r="E108" s="2" t="inlineStr">
        <is>
          <t>NMES</t>
        </is>
      </c>
    </row>
    <row r="109">
      <c r="A109" s="3" t="inlineStr">
        <is>
          <t>2026 draft DFP table, unapproved (154/640/547)</t>
        </is>
      </c>
      <c r="B109" s="8" t="n">
        <v>16701</v>
      </c>
      <c r="C109" s="8" t="n">
        <v>14800</v>
      </c>
      <c r="D109" s="8" t="n">
        <v>16108</v>
      </c>
      <c r="E109" s="2" t="inlineStr">
        <is>
          <t>BCES</t>
        </is>
      </c>
    </row>
    <row r="110">
      <c r="A110" s="21" t="inlineStr">
        <is>
          <t>Same-building ratings across four consecutive plans: NMES 198-152-174-154, Bourbon Central 564-611-521-640, Cane Ridge 500-550-422-547. Swings up to 128 seats with no major construction after 2009. The 2017 plan (recovered from the Internet Archive; KBE minutes June 7, 2017 corroborate) lists NMES at 154 enrolled against 152 capacity: OVER capacity.</t>
        </is>
      </c>
    </row>
    <row r="111">
      <c r="A111" s="3" t="inlineStr">
        <is>
          <t>VALIDATION AGAINST ACTUALS: the empirical marginal cost per student</t>
        </is>
      </c>
      <c r="B111" s="9">
        <f>(8902321-8606870)/(491-461)</f>
        <v/>
      </c>
      <c r="F111" s="21" t="inlineStr">
        <is>
          <t>The actual per-student cost difference between the district's own two large schools on the same 2023-24 filing, about $9,848: an all-in, actuals-derived marginal cost</t>
        </is>
      </c>
    </row>
    <row r="112">
      <c r="A112" s="3" t="inlineStr">
        <is>
          <t>NMES filled to 174 at that empirical marginal cost</t>
        </is>
      </c>
      <c r="B112" s="9">
        <f>(B34+(B6-B5)*B111)/B6</f>
        <v/>
      </c>
      <c r="F112" s="21" t="inlineStr">
        <is>
          <t>About $16,837: still below both receiving schools</t>
        </is>
      </c>
    </row>
    <row r="113">
      <c r="A113" s="3" t="inlineStr">
        <is>
          <t>NMES filled to 154 at that empirical marginal cost</t>
        </is>
      </c>
      <c r="B113" s="9">
        <f>(B34+(154-B5)*B111)/154</f>
        <v/>
      </c>
      <c r="F113" s="21" t="inlineStr">
        <is>
          <t>About $17,744: still below both receiving schools</t>
        </is>
      </c>
    </row>
    <row r="114">
      <c r="A114" s="21" t="inlineStr">
        <is>
          <t>Extreme bound: NMES's own year-over-year cost change 2022-23 to 2023-24 ($259,888 lower with 16 fewer students, about $16,243 per student, which folds in deliberate staffing cuts) gives $18,527 at 174: under Cane Ridge, marginally over Bourbon Central. Even the most hostile actuals-derived number does not restore the cost case.</t>
        </is>
      </c>
    </row>
    <row r="116">
      <c r="A116" s="4" t="inlineStr">
        <is>
          <t>THE RECRUITMENT POOL: WHERE FILL-THE-SEATS STUDENTS CAN COME FROM (measured; year noted per row; sources archived under build/)</t>
        </is>
      </c>
    </row>
    <row r="117">
      <c r="A117" s="3" t="inlineStr">
        <is>
          <t>Registered homeschoolers, Bourbon Co district (2022-23; district letter-of-intent counts via the Washington Post records project)</t>
        </is>
      </c>
      <c r="B117" s="10" t="n">
        <v>236</v>
      </c>
    </row>
    <row r="118">
      <c r="A118" s="3" t="inlineStr">
        <is>
          <t>Registered homeschoolers, Paris Independent (2022-23)</t>
        </is>
      </c>
      <c r="B118" s="10" t="n">
        <v>23</v>
      </c>
    </row>
    <row r="119">
      <c r="A119" s="3" t="inlineStr">
        <is>
          <t>County total registered homeschoolers (a floor; KY letter compliance is incomplete)</t>
        </is>
      </c>
      <c r="B119" s="26">
        <f>B117+B118</f>
        <v/>
      </c>
    </row>
    <row r="120">
      <c r="A120" s="3" t="inlineStr">
        <is>
          <t>County school-age (5-17) residents in private school OR homeschool (ACS 2019-23; the Census asks these as one combined answer; margin of error +/-299)</t>
        </is>
      </c>
      <c r="B120" s="10" t="n">
        <v>1135</v>
      </c>
    </row>
    <row r="121">
      <c r="A121" s="3" t="inlineStr">
        <is>
          <t>Same figure, ACS 2014-18 window: the pool nearly tripled in five years</t>
        </is>
      </c>
      <c r="B121" s="10" t="n">
        <v>422</v>
      </c>
    </row>
    <row r="122">
      <c r="A122" s="3" t="inlineStr">
        <is>
          <t>Of the current pool, seats at the county's ONLY private school (St. Mary, Paris, PK-5; federal Private School Survey 2023-24)</t>
        </is>
      </c>
      <c r="B122" s="10" t="n">
        <v>96</v>
      </c>
    </row>
    <row r="123">
      <c r="A123" s="3" t="inlineStr">
        <is>
          <t>Bourbon Co residents enrolled in OUT-OF-COUNTY public districts (KDE Non-Resident Student report, SY2024-25)</t>
        </is>
      </c>
      <c r="B123" s="10" t="n">
        <v>76</v>
      </c>
    </row>
    <row r="124">
      <c r="A124" s="3" t="inlineStr">
        <is>
          <t xml:space="preserve">  of which Cloverport Independent, host of the statewide virtual academy: a 150-mile 'commute' that is really virtual enrollment</t>
        </is>
      </c>
      <c r="B124" s="10" t="n">
        <v>10</v>
      </c>
    </row>
    <row r="125">
      <c r="A125" s="3" t="inlineStr">
        <is>
          <t>Out-of-county students already enrolled in Bourbon Co schools (same KDE report)</t>
        </is>
      </c>
      <c r="B125" s="10" t="n">
        <v>131</v>
      </c>
    </row>
    <row r="126">
      <c r="A126" s="3" t="inlineStr">
        <is>
          <t xml:space="preserve">  of which from Fayette County</t>
        </is>
      </c>
      <c r="B126" s="10" t="n">
        <v>54</v>
      </c>
    </row>
    <row r="127">
      <c r="A127" s="3" t="inlineStr">
        <is>
          <t>Net nonresident import, Bourbon Co district (436 enrolled in vs 247 residents out, Paris flows included)</t>
        </is>
      </c>
      <c r="B127" s="10" t="n">
        <v>189</v>
      </c>
    </row>
    <row r="129">
      <c r="A129" s="3" t="inlineStr">
        <is>
          <t>LEVER: returning homeschool or private-school students recruited (site planner slider; default zero so the published fill-planner numbers are unchanged)</t>
        </is>
      </c>
      <c r="B129" s="16" t="n">
        <v>0</v>
      </c>
    </row>
    <row r="130">
      <c r="A130" s="3" t="inlineStr">
        <is>
          <t>New SEEK per returning student (FY2027 base; same cell the leaver cost uses, so the symmetry is honest)</t>
        </is>
      </c>
      <c r="B130" s="18">
        <f>Assumptions!B6</f>
        <v/>
      </c>
    </row>
    <row r="131">
      <c r="A131" s="3" t="inlineStr">
        <is>
          <t>Net per returning student after variable cost</t>
        </is>
      </c>
      <c r="B131" s="9">
        <f>Assumptions!B6-Assumptions!B62</f>
        <v/>
      </c>
    </row>
    <row r="132">
      <c r="A132" s="3" t="inlineStr">
        <is>
          <t>Recurring SEEK revenue if the lever is used</t>
        </is>
      </c>
      <c r="B132" s="9">
        <f>B129*B131</f>
        <v/>
      </c>
    </row>
    <row r="133">
      <c r="A133" s="3" t="inlineStr">
        <is>
          <t>Recurring SEEK revenue if all 46 open seats fill from this pool alone</t>
        </is>
      </c>
      <c r="B133" s="23">
        <f>46*Assumptions!B6</f>
        <v/>
      </c>
    </row>
    <row r="134">
      <c r="A134" s="3" t="inlineStr">
        <is>
          <t>Capture rate that requires: share of registered homeschoolers / share of the full ACS pool</t>
        </is>
      </c>
      <c r="B134" s="19">
        <f>46/B119</f>
        <v/>
      </c>
      <c r="C134" s="19">
        <f>46/B120</f>
        <v/>
      </c>
    </row>
    <row r="135">
      <c r="A135" s="21" t="inlineStr">
        <is>
          <t>Total added students from all sources (rezone + transfers + returns) is capped at 46 by the rated 174; the site planner enforces the cap. Rezoned students bring no new SEEK (already enrolled in-district); transfers and returns each bring the full base. Sources: KDE Non-Resident Student report SY24-25 and the Washington Post home-school district file, both archived under build/; ACS table B14003 (Bourbon County); NCES Private School Universe Survey 2023-24.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5">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27">
        <f>B5*B9</f>
        <v/>
      </c>
    </row>
    <row r="11">
      <c r="A11" s="3" t="inlineStr">
        <is>
          <t>Paris-area zones (sq mi)</t>
        </is>
      </c>
      <c r="B11" s="27">
        <f>B5-B10</f>
        <v/>
      </c>
    </row>
    <row r="12">
      <c r="A12" s="3" t="inlineStr">
        <is>
          <t>NMES elementary students</t>
        </is>
      </c>
      <c r="B12" s="25">
        <f>Assumptions!B11</f>
        <v/>
      </c>
    </row>
    <row r="13">
      <c r="A13" s="3" t="inlineStr">
        <is>
          <t>Paris-area elementary students</t>
        </is>
      </c>
      <c r="B13" s="25">
        <f>Redistricting!B8+Redistricting!B9</f>
        <v/>
      </c>
    </row>
    <row r="14">
      <c r="A14" s="3" t="inlineStr">
        <is>
          <t>Students per square mile, NMES zone</t>
        </is>
      </c>
      <c r="B14" s="20">
        <f>B12/B10</f>
        <v/>
      </c>
    </row>
    <row r="15">
      <c r="A15" s="3" t="inlineStr">
        <is>
          <t>Students per square mile, Paris-area zones</t>
        </is>
      </c>
      <c r="B15" s="20">
        <f>B13/B11</f>
        <v/>
      </c>
    </row>
    <row r="16">
      <c r="A16" s="3" t="inlineStr">
        <is>
          <t>Students per square mile, district elementary overall</t>
        </is>
      </c>
      <c r="B16" s="20">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28" t="n">
        <v>2.5</v>
      </c>
      <c r="C27" s="2" t="inlineStr">
        <is>
          <t>Fuel, maintenance, driver time; replace with district cost data</t>
        </is>
      </c>
    </row>
    <row r="28">
      <c r="A28" s="3" t="inlineStr">
        <is>
          <t>Marginal cost per bus-mile, high</t>
        </is>
      </c>
      <c r="B28" s="28"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2" t="inlineStr">
        <is>
          <t>Bottom-up added busing cost, low</t>
        </is>
      </c>
      <c r="B33" s="24">
        <f>B29</f>
        <v/>
      </c>
    </row>
    <row r="34">
      <c r="A34" s="22" t="inlineStr">
        <is>
          <t>Bottom-up added busing cost, high</t>
        </is>
      </c>
      <c r="B34" s="23">
        <f>B30+B31*B32</f>
        <v/>
      </c>
    </row>
    <row r="35">
      <c r="A35" s="3" t="inlineStr">
        <is>
          <t>Report's planning range (Closure_Model offset basis)</t>
        </is>
      </c>
      <c r="B35" s="2" t="inlineStr">
        <is>
          <t>Between $75,000 and $200,000</t>
        </is>
      </c>
    </row>
    <row r="36">
      <c r="A36" s="21" t="inlineStr">
        <is>
          <t>The bottom-up estimate lands inside the planning range; the $137,500 midpoint used in the Closure_Model stands.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5">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18">
        <f>Assumptions!B42</f>
        <v/>
      </c>
    </row>
    <row r="49">
      <c r="A49" s="3" t="inlineStr">
        <is>
          <t>Average Daily Attendance, FY2025</t>
        </is>
      </c>
      <c r="B49" s="29"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18">
        <f>Assumptions!B42*Assumptions!B43</f>
        <v/>
      </c>
    </row>
    <row r="52">
      <c r="A52" s="3" t="inlineStr"/>
      <c r="B52" s="18">
        <f>Assumptions!B42*Assumptions!B44</f>
        <v/>
      </c>
    </row>
    <row r="54">
      <c r="A54" s="4" t="inlineStr">
        <is>
          <t>ACTUAL DISTANCES, COMPUTED FROM THE OFFICIAL ZONE GEOMETRY (build/zone_distances.py)</t>
        </is>
      </c>
    </row>
    <row r="55">
      <c r="A55" s="3" t="inlineStr">
        <is>
          <t>Straight-line, NMES to the Paris schools (miles)</t>
        </is>
      </c>
      <c r="B55" s="29" t="n">
        <v>8.871</v>
      </c>
      <c r="C55" s="2" t="inlineStr">
        <is>
          <t>Great-circle between the school points; unrounded so derived cells match build/zone_distances.json</t>
        </is>
      </c>
    </row>
    <row r="56">
      <c r="A56" s="3" t="inlineStr">
        <is>
          <t>Measured road distance, US 460 (miles)</t>
        </is>
      </c>
      <c r="B56" s="29" t="n">
        <v>10</v>
      </c>
      <c r="C56" s="2" t="inlineStr">
        <is>
          <t>The one pair that can be measured exactly</t>
        </is>
      </c>
    </row>
    <row r="57">
      <c r="A57" s="3" t="inlineStr">
        <is>
          <t>Implied road factor on the measured pair</t>
        </is>
      </c>
      <c r="B57" s="30">
        <f>B56/B55</f>
        <v/>
      </c>
    </row>
    <row r="58">
      <c r="A58" s="3" t="inlineStr">
        <is>
          <t>Road factor applied elsewhere (the measured US 460 pair implies 1.13)</t>
        </is>
      </c>
      <c r="B58" s="28" t="n">
        <v>1.2</v>
      </c>
    </row>
    <row r="59">
      <c r="A59" s="3" t="inlineStr">
        <is>
          <t>Area-average added distance under closure, one way, straight-line</t>
        </is>
      </c>
      <c r="B59" s="29" t="n">
        <v>3.271</v>
      </c>
      <c r="C59" s="2" t="inlineStr">
        <is>
          <t>Grid average over the official NMES zone (812 sample points); unrounded input, displays to one decimal</t>
        </is>
      </c>
    </row>
    <row r="60">
      <c r="A60" s="3" t="inlineStr">
        <is>
          <t>Area-average added distance, road</t>
        </is>
      </c>
      <c r="B60" s="20">
        <f>B59*B58</f>
        <v/>
      </c>
    </row>
    <row r="61">
      <c r="A61" s="3" t="inlineStr">
        <is>
          <t>Farthest corner of the zone, straight-line to Paris / to NMES</t>
        </is>
      </c>
      <c r="B61" s="29" t="n">
        <v>15.1</v>
      </c>
      <c r="C61" s="2" t="inlineStr">
        <is>
          <t>8.3 miles to NMES; near the Nicholas County line</t>
        </is>
      </c>
    </row>
    <row r="62">
      <c r="A62" s="3" t="inlineStr">
        <is>
          <t>Farthest corner by road: to Paris / to NMES (miles)</t>
        </is>
      </c>
      <c r="B62" s="27">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4"/>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17" t="inlineStr">
        <is>
          <t>Measure</t>
        </is>
      </c>
      <c r="B3" s="17" t="inlineStr">
        <is>
          <t>Low ($/yr)</t>
        </is>
      </c>
      <c r="C3" s="17" t="inlineStr">
        <is>
          <t>High ($/yr)</t>
        </is>
      </c>
      <c r="D3" s="17" t="inlineStr">
        <is>
          <t>Basis</t>
        </is>
      </c>
      <c r="E3" s="17" t="inlineStr">
        <is>
          <t>Type</t>
        </is>
      </c>
      <c r="F3" s="17" t="inlineStr">
        <is>
          <t>Confidence / what firms it up</t>
        </is>
      </c>
    </row>
    <row r="4">
      <c r="A4" s="3" t="inlineStr">
        <is>
          <t>4% property-tax adjustment (KRS 160.470)</t>
        </is>
      </c>
      <c r="B4" s="18">
        <f>Tax_History!B50</f>
        <v/>
      </c>
      <c r="C4" s="8" t="n">
        <v>375000</v>
      </c>
      <c r="D4" s="2" t="inlineStr">
        <is>
          <t>Low = year-one 4% option on the General Fund levied base (matches the levy analysis); high allows base growth</t>
        </is>
      </c>
      <c r="E4" s="2" t="inlineStr">
        <is>
          <t>New revenue</t>
        </is>
      </c>
      <c r="F4" s="2" t="inlineStr">
        <is>
          <t>High; board authority every August, no recall exposure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18">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18">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18">
        <f>Assumptions!B42*Assumptions!B43</f>
        <v/>
      </c>
      <c r="C9" s="18">
        <f>Assumptions!B42*Assumptions!B44</f>
        <v/>
      </c>
      <c r="D9" s="2" t="inlineStr">
        <is>
          <t>5-10% of FY2025 transport expense</t>
        </is>
      </c>
      <c r="E9" s="2" t="inlineStr">
        <is>
          <t>Cost reduction</t>
        </is>
      </c>
      <c r="F9" s="2" t="inlineStr">
        <is>
          <t>Medium; needs a local route model (T-1 data requested)</t>
        </is>
      </c>
    </row>
    <row r="10">
      <c r="A10" s="3" t="inlineStr">
        <is>
          <t>Medicaid billing, E-rate, meal reimbursements</t>
        </is>
      </c>
      <c r="B10" s="8" t="n">
        <v>100000</v>
      </c>
      <c r="C10" s="8" t="n">
        <v>250000</v>
      </c>
      <c r="D10" s="2" t="inlineStr">
        <is>
          <t>Typical under-collected federal reimbursements</t>
        </is>
      </c>
      <c r="E10" s="2" t="inlineStr">
        <is>
          <t>New revenue</t>
        </is>
      </c>
      <c r="F10" s="2" t="inlineStr">
        <is>
          <t>Low; needs evidence current claims are being missed</t>
        </is>
      </c>
    </row>
    <row r="11">
      <c r="A11" s="3" t="inlineStr">
        <is>
          <t>Energy performance contracting</t>
        </is>
      </c>
      <c r="B11" s="8" t="n">
        <v>50000</v>
      </c>
      <c r="C11" s="8" t="n">
        <v>150000</v>
      </c>
      <c r="D11" s="2" t="inlineStr">
        <is>
          <t>10-25% of utilities; authorized by 702 KAR 4:160</t>
        </is>
      </c>
      <c r="E11" s="2" t="inlineStr">
        <is>
          <t>Cost reduction</t>
        </is>
      </c>
      <c r="F11" s="2" t="inlineStr">
        <is>
          <t>Medium; contracts are structured to self-fund</t>
        </is>
      </c>
    </row>
    <row r="12">
      <c r="A12" s="3" t="inlineStr">
        <is>
          <t>Shared services with Paris Independent</t>
        </is>
      </c>
      <c r="B12" s="8" t="n">
        <v>100000</v>
      </c>
      <c r="C12" s="8" t="n">
        <v>300000</v>
      </c>
      <c r="D12" s="2" t="inlineStr">
        <is>
          <t>Transport, food service, back office</t>
        </is>
      </c>
      <c r="E12" s="2" t="inlineStr">
        <is>
          <t>Cost reduction</t>
        </is>
      </c>
      <c r="F12" s="2" t="inlineStr">
        <is>
          <t>Low; needs an interlocal feasibility study</t>
        </is>
      </c>
    </row>
    <row r="13">
      <c r="A13" s="3" t="inlineStr">
        <is>
          <t>Fill NMES to capacity (rebalance + transfers, net)</t>
        </is>
      </c>
      <c r="B13" s="18">
        <f>Redistricting!B30</f>
        <v/>
      </c>
      <c r="C13" s="18">
        <f>Redistricting!B31</f>
        <v/>
      </c>
      <c r="D13" s="2" t="inlineStr">
        <is>
          <t>Boundary rebalancing and cross-county scenario, Redistricting tab</t>
        </is>
      </c>
      <c r="E13" s="2" t="inlineStr">
        <is>
          <t>New revenue, net of costs</t>
        </is>
      </c>
      <c r="F13" s="2" t="inlineStr">
        <is>
          <t>High; board boundary authority, math on Redistricting tab</t>
        </is>
      </c>
    </row>
    <row r="14">
      <c r="A14" s="22" t="inlineStr">
        <is>
          <t>Total identified (ranges overlap; not additive to the penny)</t>
        </is>
      </c>
      <c r="B14" s="24">
        <f>SUM(B4:B13)</f>
        <v/>
      </c>
      <c r="C14" s="24">
        <f>SUM(C4:C13)</f>
        <v/>
      </c>
    </row>
    <row r="16">
      <c r="A16" s="4" t="inlineStr">
        <is>
          <t>COMPARISON</t>
        </is>
      </c>
    </row>
    <row r="17">
      <c r="A17" s="3" t="inlineStr">
        <is>
          <t>Package midpoint (raw sum of ranges)</t>
        </is>
      </c>
      <c r="B17" s="9">
        <f>(B14+C14)/2</f>
        <v/>
      </c>
    </row>
    <row r="18">
      <c r="A18" s="3" t="inlineStr">
        <is>
          <t>Conservative combined estimate, low (haircut for overlap)</t>
        </is>
      </c>
      <c r="B18" s="14" t="n">
        <v>1100000</v>
      </c>
    </row>
    <row r="19">
      <c r="A19" s="3" t="inlineStr">
        <is>
          <t>Conservative combined estimate, high</t>
        </is>
      </c>
      <c r="B19" s="14" t="n">
        <v>2100000</v>
      </c>
    </row>
    <row r="20">
      <c r="A20" s="3" t="inlineStr">
        <is>
          <t>Conservative midpoint (used in Runway sheet)</t>
        </is>
      </c>
      <c r="B20" s="9">
        <f>(B18+B19)/2</f>
        <v/>
      </c>
    </row>
    <row r="21">
      <c r="A21" s="3" t="inlineStr">
        <is>
          <t>Average annual GF drawdown (FY2024-25)</t>
        </is>
      </c>
      <c r="B21" s="18">
        <f>GF_Summary!D16</f>
        <v/>
      </c>
    </row>
    <row r="22">
      <c r="A22" s="3" t="inlineStr">
        <is>
          <t>Closure net saving (base case)</t>
        </is>
      </c>
      <c r="B22" s="18">
        <f>Closure_Model!B20</f>
        <v/>
      </c>
    </row>
    <row r="24">
      <c r="A24" s="21" t="inlineStr">
        <is>
          <t>Reading: raw row sums run about $1.6M to $2.8M; the published $1.1M to $2.1M band applies a conservative haircut for overlap and implementation risk. Coverage is reported against both yardsticks: the $2.65M structural gap before transfers and the roughly $1.15M net drawdown after transfers (Closure_Model rows 21 and 35 carry both for closure).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0"/>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17" t="inlineStr">
        <is>
          <t>Series</t>
        </is>
      </c>
      <c r="B4" s="17" t="inlineStr">
        <is>
          <t>Original</t>
        </is>
      </c>
      <c r="C4" s="17" t="inlineStr">
        <is>
          <t>Rate</t>
        </is>
      </c>
      <c r="D4" s="17" t="inlineStr">
        <is>
          <t>Maturity</t>
        </is>
      </c>
      <c r="E4" s="17" t="inlineStr">
        <is>
          <t>Outstanding 6/30/25</t>
        </is>
      </c>
      <c r="F4" s="17"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2" t="inlineStr">
        <is>
          <t>Total</t>
        </is>
      </c>
      <c r="B12" s="24">
        <f>SUM(B5:B11)</f>
        <v/>
      </c>
      <c r="E12" s="24">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29"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18">
        <f>Tax_History!B33</f>
        <v/>
      </c>
    </row>
    <row r="26">
      <c r="A26" s="3" t="inlineStr">
        <is>
          <t>District-paid debt service, FY2026</t>
        </is>
      </c>
      <c r="B26" s="8" t="n">
        <v>1578700</v>
      </c>
    </row>
    <row r="27">
      <c r="A27" s="3" t="inlineStr">
        <is>
          <t>Annual restricted margin available for new debt (illustrative)</t>
        </is>
      </c>
      <c r="B27" s="31">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row r="37">
      <c r="A37" s="4" t="inlineStr">
        <is>
          <t>THE $14 MILLION PLAN (JULY 15, 2026 PLANNING COMMITTEE)</t>
        </is>
      </c>
    </row>
    <row r="38">
      <c r="A38" s="2" t="inlineStr">
        <is>
          <t>Stated plan: free up $800,000 to $1,000,000 a year of operating money to bond $14 million</t>
        </is>
      </c>
    </row>
    <row r="39">
      <c r="A39" s="3" t="inlineStr">
        <is>
          <t>Proposed bond amount</t>
        </is>
      </c>
      <c r="B39" s="8" t="n">
        <v>14000000</v>
      </c>
    </row>
    <row r="40">
      <c r="A40" s="3" t="inlineStr">
        <is>
          <t>Assumed interest rate</t>
        </is>
      </c>
      <c r="B40" s="13" t="n">
        <v>0.045</v>
      </c>
    </row>
    <row r="41">
      <c r="A41" s="3" t="inlineStr">
        <is>
          <t>Assumed term, years</t>
        </is>
      </c>
      <c r="B41" s="32" t="n">
        <v>20</v>
      </c>
    </row>
    <row r="42">
      <c r="A42" s="3" t="inlineStr">
        <is>
          <t>Annual debt service on the proposed bond</t>
        </is>
      </c>
      <c r="B42" s="31">
        <f>B39*B40/(1-(1+B40)^-B41)</f>
        <v/>
      </c>
      <c r="F42" s="21" t="inlineStr">
        <is>
          <t>Payment is approximately the operating amount the plan frees up; compare the savings scenarios below</t>
        </is>
      </c>
    </row>
    <row r="44">
      <c r="A44" s="4" t="inlineStr">
        <is>
          <t>WHAT EACH SAVINGS ESTIMATE COULD ACTUALLY BOND</t>
        </is>
      </c>
    </row>
    <row r="45">
      <c r="A45" s="2" t="inlineStr">
        <is>
          <t>Bond principal supported = annual savings x present-value annuity factor at the rate and term above</t>
        </is>
      </c>
    </row>
    <row r="46">
      <c r="A46" s="3" t="inlineStr">
        <is>
          <t>District's own KDE-filed excess cost of NMES vs peer elementaries</t>
        </is>
      </c>
      <c r="B46" s="8" t="n">
        <v>121220</v>
      </c>
      <c r="C46" s="9">
        <f>B46*(1-(1+B$40)^-B$41)/B$40</f>
        <v/>
      </c>
      <c r="F46" s="21" t="inlineStr">
        <is>
          <t>Sits between the v3 closure model's median ($91,240) and central case ($131,240)</t>
        </is>
      </c>
    </row>
    <row r="47">
      <c r="A47" s="3" t="inlineStr">
        <is>
          <t>Closure model median (v3 two-tailed grid)</t>
        </is>
      </c>
      <c r="B47" s="8" t="n">
        <v>91240</v>
      </c>
      <c r="C47" s="9">
        <f>B47*(1-(1+B$40)^-B$41)/B$40</f>
        <v/>
      </c>
      <c r="F47" s="21" t="inlineStr">
        <is>
          <t>Closure_Model tab, 1,944-combination grid</t>
        </is>
      </c>
    </row>
    <row r="48">
      <c r="A48" s="3" t="inlineStr">
        <is>
          <t>Closure model best case (v3 favorable tail)</t>
        </is>
      </c>
      <c r="B48" s="8" t="n">
        <v>565000</v>
      </c>
      <c r="C48" s="9">
        <f>B48*(1-(1+B$40)^-B$41)/B$40</f>
        <v/>
      </c>
      <c r="F48" s="21" t="inlineStr">
        <is>
          <t>Closure_Model tab B49</t>
        </is>
      </c>
    </row>
    <row r="49">
      <c r="A49" s="3" t="inlineStr">
        <is>
          <t>Administration's claim, July 15, 2026</t>
        </is>
      </c>
      <c r="B49" s="8" t="n">
        <v>900000</v>
      </c>
      <c r="C49" s="9">
        <f>B49*(1-(1+B$40)^-B$41)/B$40</f>
        <v/>
      </c>
      <c r="F49" s="21" t="inlineStr">
        <is>
          <t>Unpublished derivation; reconcile with KDE-filed school-level spending</t>
        </is>
      </c>
    </row>
    <row r="50">
      <c r="A50" s="2" t="inlineStr">
        <is>
          <t>Only the administration's own number reaches $14 million. The audited excess cost supports about $1.6 million.</t>
        </is>
      </c>
    </row>
    <row r="52">
      <c r="A52" s="4" t="inlineStr">
        <is>
          <t>DISTRICT-PAID DEBT SERVICE SCHEDULE (FY2025 AUDIT, NOTE 4)</t>
        </is>
      </c>
    </row>
    <row r="53">
      <c r="A53" s="2" t="inlineStr">
        <is>
          <t>Payments fall as the 2013, 2016, and 2020 series retire; this falling schedule is the room a wrap-around structure fills</t>
        </is>
      </c>
    </row>
    <row r="54">
      <c r="A54" s="3" t="inlineStr">
        <is>
          <t>FY2026</t>
        </is>
      </c>
      <c r="B54" s="8" t="n">
        <v>1578700</v>
      </c>
    </row>
    <row r="55">
      <c r="A55" s="3" t="inlineStr">
        <is>
          <t>FY2027</t>
        </is>
      </c>
      <c r="B55" s="8" t="n">
        <v>1575060</v>
      </c>
    </row>
    <row r="56">
      <c r="A56" s="3" t="inlineStr">
        <is>
          <t>FY2028</t>
        </is>
      </c>
      <c r="B56" s="8" t="n">
        <v>1578719</v>
      </c>
    </row>
    <row r="57">
      <c r="A57" s="3" t="inlineStr">
        <is>
          <t>FY2029</t>
        </is>
      </c>
      <c r="B57" s="8" t="n">
        <v>1577258</v>
      </c>
    </row>
    <row r="58">
      <c r="A58" s="3" t="inlineStr">
        <is>
          <t>FY2030</t>
        </is>
      </c>
      <c r="B58" s="8" t="n">
        <v>1578340</v>
      </c>
    </row>
    <row r="59">
      <c r="A59" s="3" t="inlineStr">
        <is>
          <t>FY2031-35 average</t>
        </is>
      </c>
      <c r="B59" s="8" t="n">
        <v>1321112</v>
      </c>
    </row>
    <row r="60">
      <c r="A60" s="3" t="inlineStr">
        <is>
          <t>FY2036-40 average</t>
        </is>
      </c>
      <c r="B60" s="8" t="n">
        <v>398915</v>
      </c>
    </row>
    <row r="61">
      <c r="A61" s="3" t="inlineStr">
        <is>
          <t>FY2041-45 average</t>
        </is>
      </c>
      <c r="B61" s="8" t="n">
        <v>260708</v>
      </c>
    </row>
    <row r="63">
      <c r="A63" s="4" t="inlineStr">
        <is>
          <t>THE LEVERS THAT DO NOT CLOSE A SCHOOL</t>
        </is>
      </c>
    </row>
    <row r="64">
      <c r="A64" s="3" t="inlineStr">
        <is>
          <t>Remaining restricted capacity (FY2024 audit $23.5M less local share of the 2024 issue, approximate)</t>
        </is>
      </c>
      <c r="B64" s="8" t="n">
        <v>17600000</v>
      </c>
      <c r="F64" s="21" t="inlineStr">
        <is>
          <t>Exact figure is the fiscal agent's bonding potential statement; demand it</t>
        </is>
      </c>
    </row>
    <row r="65">
      <c r="A65" s="3" t="inlineStr">
        <is>
          <t>Certified real and personal property assessment, FY2025</t>
        </is>
      </c>
      <c r="B65" s="8" t="n">
        <v>1843569625</v>
      </c>
    </row>
    <row r="66">
      <c r="A66" s="3" t="inlineStr">
        <is>
          <t>Recallable nickel status: ALREADY LEVIED August 17, 2023, inside the existing rate</t>
        </is>
      </c>
      <c r="B66" s="2" t="inlineStr">
        <is>
          <t>levied</t>
        </is>
      </c>
      <c r="F66" s="21" t="inlineStr">
        <is>
          <t>KDE Nickel Levy Chart (March 2024) dates Bourbon's recallable levy 8/17/2023; KDE's levied-rates file (April 30, 2026) decomposes the 52.4-cent rate as 41.0 general fund + 5.7 FSPK + 5.7 recallable. Paris Independent, for scale: 71.5 cents with 17.4 recallable</t>
        </is>
      </c>
    </row>
    <row r="67">
      <c r="A67" s="3" t="inlineStr">
        <is>
          <t>New annual state equalization on the recallable nickel (full value, FY2027 schedule)</t>
        </is>
      </c>
      <c r="B67" s="8" t="n">
        <v>276246</v>
      </c>
      <c r="F67" s="21" t="inlineStr">
        <is>
          <t>Phasing in on KDE SEEK schedules: $82,866 FY2025, $55,515 FY2026, $276,246 FY2027. New restricted revenue, no board action required</t>
        </is>
      </c>
    </row>
    <row r="68">
      <c r="A68" s="3" t="inlineStr">
        <is>
          <t>Bonds the new equalization alone supports</t>
        </is>
      </c>
      <c r="B68" s="9">
        <f>B67*(1-(1+B40)^-B41)/B40</f>
        <v/>
      </c>
      <c r="F68" s="21" t="inlineStr">
        <is>
          <t>Additive to the FY2024 audit's bonding potential, which predates the equalization</t>
        </is>
      </c>
    </row>
    <row r="69">
      <c r="A69" s="3" t="inlineStr">
        <is>
          <t>SFCC offers of assistance, typical cycle</t>
        </is>
      </c>
      <c r="B69" s="8" t="n">
        <v>1750000</v>
      </c>
      <c r="F69" s="21" t="inlineStr">
        <is>
          <t>State already pays $1,568,809 of current principal</t>
        </is>
      </c>
    </row>
    <row r="71">
      <c r="A71" s="4" t="inlineStr">
        <is>
          <t>FY2026 YEAR-END, DISTRICT'S OWN KDE BUDGET MONITORING TOOL (UNAUDITED)</t>
        </is>
      </c>
    </row>
    <row r="72">
      <c r="A72" s="2" t="inlineStr">
        <is>
          <t>June 2026 financial packet, board agenda July 16, 2026; MUNIS run July 15, 2026. Audit will finalize these figures.</t>
        </is>
      </c>
    </row>
    <row r="73">
      <c r="A73" s="3" t="inlineStr">
        <is>
          <t>General Fund revenue, FY2026 actual (excludes carryforward and on-behalf)</t>
        </is>
      </c>
      <c r="B73" s="8" t="n">
        <v>22103877</v>
      </c>
    </row>
    <row r="74">
      <c r="A74" s="3" t="inlineStr">
        <is>
          <t>General Fund expenditures, FY2026 actual</t>
        </is>
      </c>
      <c r="B74" s="8" t="n">
        <v>22477866</v>
      </c>
    </row>
    <row r="75">
      <c r="A75" s="3" t="inlineStr">
        <is>
          <t>Net General Fund change, FY2026 (unaudited)</t>
        </is>
      </c>
      <c r="B75" s="31">
        <f>B73-B74</f>
        <v/>
      </c>
      <c r="F75" s="21" t="inlineStr">
        <is>
          <t>Compare net changes of -$1,065,657 in FY2024 and -$1,225,465 in FY2025 (audited)</t>
        </is>
      </c>
    </row>
    <row r="76">
      <c r="A76" s="3" t="inlineStr">
        <is>
          <t>Revenues over budget per the monitoring tool</t>
        </is>
      </c>
      <c r="B76" s="8" t="n">
        <v>2225835</v>
      </c>
    </row>
    <row r="77">
      <c r="A77" s="3" t="inlineStr">
        <is>
          <t>Salaries under budget per the monitoring tool</t>
        </is>
      </c>
      <c r="B77" s="8" t="n">
        <v>587592</v>
      </c>
    </row>
    <row r="78">
      <c r="A78" s="3" t="inlineStr">
        <is>
          <t>Salaries below FY2025 actuals</t>
        </is>
      </c>
      <c r="B78" s="8" t="n">
        <v>223974</v>
      </c>
    </row>
    <row r="79">
      <c r="A79" s="3" t="inlineStr">
        <is>
          <t>Caveat 1: miscellaneous revenue (object 1990) budgeted at zero, received</t>
        </is>
      </c>
      <c r="B79" s="8" t="n">
        <v>1567829</v>
      </c>
      <c r="F79" s="21" t="inlineStr">
        <is>
          <t>Unbudgeted even in the final amended budget; the district should identify this receipt on the record</t>
        </is>
      </c>
    </row>
    <row r="80">
      <c r="A80" s="3" t="inlineStr">
        <is>
          <t xml:space="preserve">  of which booked in June (period 12) alone</t>
        </is>
      </c>
      <c r="B80" s="8" t="n">
        <v>1413929</v>
      </c>
      <c r="F80" s="21" t="inlineStr">
        <is>
          <t>Months 1-11 produced $153,900 combined, a normal run rate; the balance sheet shows no receivable behind the June entry</t>
        </is>
      </c>
    </row>
    <row r="81">
      <c r="A81" s="3" t="inlineStr">
        <is>
          <t>Caveat 2: restricted capital money transferred INTO the General Fund in June 2026</t>
        </is>
      </c>
      <c r="B81" s="8" t="n">
        <v>1320939</v>
      </c>
      <c r="F81" s="21" t="inlineStr">
        <is>
          <t>Object 5210: $1,098,663 from the Building Fund (320) + $222,276 from Capital Outlay (310), which ended the year at $0 ($1,098,663 + $222,276 = $1,320,939 per the GF receipts ledger; the packet's fund 320 page records $1,098,633, a $30 internal discrepancy in the district's own packet). Lawful under budget-act capital funds flexibility. The Building Fund piece was budgeted from September 2025 ($1,120,203); the $222,276 Capital Outlay piece appears in no version of the FY2026 budget</t>
        </is>
      </c>
    </row>
    <row r="82">
      <c r="A82" s="3" t="inlineStr">
        <is>
          <t>Net change excluding the capital transfer</t>
        </is>
      </c>
      <c r="B82" s="9">
        <f>B73-B74-B81</f>
        <v/>
      </c>
      <c r="F82" s="21" t="inlineStr">
        <is>
          <t>About -$1.69 million: the operating result on operating revenue alone</t>
        </is>
      </c>
    </row>
    <row r="83">
      <c r="A83" s="3" t="inlineStr">
        <is>
          <t>Net change excluding the transfer and the unidentified June receipt</t>
        </is>
      </c>
      <c r="B83" s="9">
        <f>B73-B74-B81-B80</f>
        <v/>
      </c>
      <c r="F83" s="21" t="inlineStr">
        <is>
          <t>About -$3.11 million: the same range as the audited years</t>
        </is>
      </c>
    </row>
    <row r="84">
      <c r="A84" s="3" t="inlineStr">
        <is>
          <t>June 2026 General Fund revenue vs June 2025 (district's monitoring tool)</t>
        </is>
      </c>
      <c r="B84" s="8" t="n">
        <v>3923096</v>
      </c>
      <c r="C84" s="8" t="n">
        <v>1130736</v>
      </c>
      <c r="F84" s="21" t="inlineStr">
        <is>
          <t>The two June entries above are 98 percent of the year-over-year June difference</t>
        </is>
      </c>
    </row>
    <row r="85">
      <c r="A85" s="3" t="inlineStr">
        <is>
          <t>Variance identity from the packet: projected fund balance reconciles to the dollar</t>
        </is>
      </c>
      <c r="B85" s="9">
        <f>1489853+2225835+587592-224087</f>
        <v/>
      </c>
      <c r="F85" s="21" t="inlineStr">
        <is>
          <t>Contingency + revenue over budget + salary savings - expense overrun = $4,079,193, the tool's projected balance. The June misc entry is 63 percent of the revenue beat</t>
        </is>
      </c>
    </row>
    <row r="86">
      <c r="A86" s="4" t="inlineStr">
        <is>
          <t>BUILDING FUND FLOWS, FY2026 (fund 320, same packet)</t>
        </is>
      </c>
    </row>
    <row r="87">
      <c r="A87" s="3" t="inlineStr">
        <is>
          <t>Building Fund transfers out, FY2026 total</t>
        </is>
      </c>
      <c r="B87" s="8" t="n">
        <v>2481394</v>
      </c>
    </row>
    <row r="88">
      <c r="A88" s="3" t="inlineStr">
        <is>
          <t xml:space="preserve">  to Debt Service (fund 400)</t>
        </is>
      </c>
      <c r="B88" s="8" t="n">
        <v>1382761</v>
      </c>
    </row>
    <row r="89">
      <c r="A89" s="3" t="inlineStr">
        <is>
          <t xml:space="preserve">  to the General Fund (June 2026)</t>
        </is>
      </c>
      <c r="B89" s="9">
        <f>B87-B88</f>
        <v/>
      </c>
      <c r="F89" s="21" t="inlineStr">
        <is>
          <t>The residual after debt service. This is the restricted stream a $14 million bond would lean on; in FY2026 it plugged the operating budget instead</t>
        </is>
      </c>
    </row>
    <row r="90">
      <c r="A90" s="3" t="inlineStr">
        <is>
          <t>Bond capacity that residual supports at the same rate and term</t>
        </is>
      </c>
      <c r="B90" s="9">
        <f>B89*(1-(1+B40)^-B41)/B40</f>
        <v/>
      </c>
      <c r="F90" s="21" t="inlineStr">
        <is>
          <t>About $14 million: the plan's own target, carried by restricted money. The closure's role is only to replace the sweep, and any recurring million dollars does that</t>
        </is>
      </c>
    </row>
    <row r="92">
      <c r="A92" s="4" t="inlineStr">
        <is>
          <t>SCENARIO: BALANCE THE BUDGET AND EXPAND BONDING CAPACITY, NO CLOSURE</t>
        </is>
      </c>
    </row>
    <row r="93">
      <c r="A93" s="2" t="inlineStr">
        <is>
          <t>Two cases differ only in the operating gap assumed. Conservative treats the FY2026 $1.57M receipt as one-time;</t>
        </is>
      </c>
    </row>
    <row r="94">
      <c r="A94" s="2" t="inlineStr">
        <is>
          <t>trend uses the unaudited FY2026 net change. The sweep is ended in both cases; only genuine remainder services debt.</t>
        </is>
      </c>
    </row>
    <row r="95">
      <c r="B95" s="17" t="inlineStr">
        <is>
          <t>Conservative</t>
        </is>
      </c>
      <c r="C95" s="17" t="inlineStr">
        <is>
          <t>FY2026 trend</t>
        </is>
      </c>
    </row>
    <row r="96">
      <c r="A96" s="3" t="inlineStr">
        <is>
          <t>Operating gap to close first</t>
        </is>
      </c>
      <c r="B96" s="8" t="n">
        <v>1900000</v>
      </c>
      <c r="C96" s="8" t="n">
        <v>373989</v>
      </c>
      <c r="F96" s="21" t="inlineStr">
        <is>
          <t>Editable. $1.9M = FY2026 result excluding the unidentified receipt; $373,989 = FY2026 unaudited net change</t>
        </is>
      </c>
    </row>
    <row r="97">
      <c r="A97" s="3" t="inlineStr">
        <is>
          <t>New recurring revenue: 4 percent levy taken three years running</t>
        </is>
      </c>
      <c r="B97" s="18">
        <f>Tax_History!B32*(1.04^3-1)</f>
        <v/>
      </c>
      <c r="C97" s="18">
        <f>Tax_History!B32*(1.04^3-1)</f>
        <v/>
      </c>
      <c r="F97" s="21" t="inlineStr">
        <is>
          <t>Same base and compounding as the levy tab; year 1 is $313,162, year 3 cumulative $977,568</t>
        </is>
      </c>
    </row>
    <row r="98">
      <c r="A98" s="3" t="inlineStr">
        <is>
          <t>Recurring cost reductions, not from closing a school</t>
        </is>
      </c>
      <c r="B98" s="8" t="n">
        <v>1000000</v>
      </c>
      <c r="C98" s="8" t="n">
        <v>1000000</v>
      </c>
      <c r="F98" s="21" t="inlineStr">
        <is>
          <t>Editable. For scale from the FY2025 audit: district administration grew $221K in one year, salaries fell $224K through attrition, spending ran $859K under budget</t>
        </is>
      </c>
    </row>
    <row r="99">
      <c r="A99" s="3" t="inlineStr">
        <is>
          <t>End the capital-to-GF sweep (required before the building-fund residual can be pledged to new bonds)</t>
        </is>
      </c>
      <c r="B99" s="8" t="n">
        <v>1320939</v>
      </c>
      <c r="C99" s="8" t="n">
        <v>1320939</v>
      </c>
      <c r="F99" s="21" t="inlineStr">
        <is>
          <t>The FY2026 sweep is General Fund revenue today; pledging the residual means replacing it. Without this row the restricted stream would be counted twice</t>
        </is>
      </c>
    </row>
    <row r="100">
      <c r="A100" s="3" t="inlineStr">
        <is>
          <t>Operating room left for debt service after the budget balances and the sweep ends</t>
        </is>
      </c>
      <c r="B100" s="9">
        <f>MAX(0,B97+B98-B96-B99)</f>
        <v/>
      </c>
      <c r="C100" s="9">
        <f>MAX(0,C97+C98-C96-C99)</f>
        <v/>
      </c>
      <c r="F100" s="21" t="inlineStr">
        <is>
          <t>Trend case balances with about $283K to spare; the conservative case is still about $1.24M short, so its total below leans on equalization and existing restricted capacity only</t>
        </is>
      </c>
    </row>
    <row r="101">
      <c r="A101" s="3" t="inlineStr">
        <is>
          <t>General-fund bond capacity from that room</t>
        </is>
      </c>
      <c r="B101" s="9">
        <f>B100*(1-(1+B$40)^-B$41)/B$40</f>
        <v/>
      </c>
      <c r="C101" s="9">
        <f>C100*(1-(1+B$40)^-B$41)/B$40</f>
        <v/>
      </c>
    </row>
    <row r="102">
      <c r="A102" s="3" t="inlineStr">
        <is>
          <t>New state equalization on the already-levied recallable nickel</t>
        </is>
      </c>
      <c r="B102" s="8" t="n">
        <v>276246</v>
      </c>
      <c r="C102" s="8" t="n">
        <v>276246</v>
      </c>
      <c r="F102" s="21" t="inlineStr">
        <is>
          <t>FY2027 SEEK schedule; the recallable nickel itself is already levied and its local yield is already inside the building-fund stream above</t>
        </is>
      </c>
    </row>
    <row r="103">
      <c r="A103" s="3" t="inlineStr">
        <is>
          <t>Bond capacity from the new equalization</t>
        </is>
      </c>
      <c r="B103" s="9">
        <f>B102*(1-(1+B$40)^-B$41)/B$40</f>
        <v/>
      </c>
      <c r="C103" s="9">
        <f>C102*(1-(1+B$40)^-B$41)/B$40</f>
        <v/>
      </c>
    </row>
    <row r="104">
      <c r="A104" s="3" t="inlineStr">
        <is>
          <t>Existing unused restricted capacity, approximate</t>
        </is>
      </c>
      <c r="B104" s="8" t="n">
        <v>17600000</v>
      </c>
      <c r="C104" s="8" t="n">
        <v>17600000</v>
      </c>
      <c r="F104" s="21" t="inlineStr">
        <is>
          <t>FY2024 audit $23.5M less local share of the 2024 issue; fiscal agent's statement is the authority</t>
        </is>
      </c>
    </row>
    <row r="105">
      <c r="A105" s="22" t="inlineStr">
        <is>
          <t>Total capacity available without closing a school</t>
        </is>
      </c>
      <c r="B105" s="24">
        <f>B101+B103+B104</f>
        <v/>
      </c>
      <c r="C105" s="24">
        <f>C101+C103+C104</f>
        <v/>
      </c>
    </row>
    <row r="106">
      <c r="A106" s="2" t="inlineStr">
        <is>
          <t>Roughly $22.2 million in the conservative case and $42.1 million on the FY2026 trend, with the budget balanced</t>
        </is>
      </c>
    </row>
    <row r="107">
      <c r="A107" s="2" t="inlineStr">
        <is>
          <t>first in both. The administration's plan reaches $32 million at face value and leaves the deficit in place.</t>
        </is>
      </c>
    </row>
    <row r="108">
      <c r="A108" s="2" t="inlineStr">
        <is>
          <t>Floor check: even with zero general-fund room, the restricted capacity plus new equalization alone are about $21 million.</t>
        </is>
      </c>
    </row>
    <row r="109">
      <c r="A109" s="2" t="inlineStr">
        <is>
          <t>Pledging the building-fund residual to new bonds requires ending the capital-to-operations sweep documented above,</t>
        </is>
      </c>
    </row>
    <row r="110">
      <c r="A110" s="2" t="inlineStr">
        <is>
          <t>which is exactly what the administration's plan implies; the only question is which recurring million replaces it.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17" t="inlineStr">
        <is>
          <t>Projected ending General Fund balance</t>
        </is>
      </c>
      <c r="B4" s="17" t="inlineStr">
        <is>
          <t>FY2026</t>
        </is>
      </c>
      <c r="C4" s="17" t="inlineStr">
        <is>
          <t>FY2027</t>
        </is>
      </c>
      <c r="D4" s="17" t="inlineStr">
        <is>
          <t>FY2028</t>
        </is>
      </c>
      <c r="E4" s="17"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B6-GF_Summary!$D$16+0.5*Alternatives!$B$20</f>
        <v/>
      </c>
      <c r="D6" s="9">
        <f>C6-GF_Summary!$D$16+Alternatives!$B$20</f>
        <v/>
      </c>
      <c r="E6" s="9">
        <f>D6-GF_Summary!$D$16+Alternatives!$B$20</f>
        <v/>
      </c>
    </row>
    <row r="7">
      <c r="A7" s="3" t="inlineStr">
        <is>
          <t>Closure only (v3 central case, $131,240, from FY2027)</t>
        </is>
      </c>
      <c r="B7" s="9">
        <f>GF_Summary!D9-GF_Summary!$D$16</f>
        <v/>
      </c>
      <c r="C7" s="9">
        <f>B7-GF_Summary!$D$16+Closure_Model!$B$47</f>
        <v/>
      </c>
      <c r="D7" s="9">
        <f>C7-GF_Summary!$D$16+Closure_Model!$B$47</f>
        <v/>
      </c>
      <c r="E7" s="9">
        <f>D7-GF_Summary!$D$16+Closure_Model!$B$47</f>
        <v/>
      </c>
    </row>
    <row r="8">
      <c r="A8" s="3" t="inlineStr">
        <is>
          <t>2% contingency floor (approx., FY2025 basis)</t>
        </is>
      </c>
      <c r="B8" s="18">
        <f>GF_Summary!$D$14</f>
        <v/>
      </c>
      <c r="C8" s="18">
        <f>GF_Summary!$D$14</f>
        <v/>
      </c>
      <c r="D8" s="18">
        <f>GF_Summary!$D$14</f>
        <v/>
      </c>
      <c r="E8" s="18">
        <f>GF_Summary!$D$14</f>
        <v/>
      </c>
    </row>
    <row r="9">
      <c r="A9" s="21" t="inlineStr">
        <is>
          <t>Closure range check (v3): at the +$565,000 best case FY2029 ends near $1.4M; at the +$91,240 median the reserves are gone on nearly the status-quo schedule; in the 29 percent of scenarios that lose money, sooner than status quo.</t>
        </is>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17" t="inlineStr">
        <is>
          <t>Plan</t>
        </is>
      </c>
      <c r="B4" s="17" t="inlineStr">
        <is>
          <t>Recurring GF impact ($/yr, by yr 3)</t>
        </is>
      </c>
      <c r="C4" s="17" t="inlineStr">
        <is>
          <t>Projected FY2029 balance</t>
        </is>
      </c>
      <c r="D4" s="17" t="inlineStr">
        <is>
          <t>One-time costs</t>
        </is>
      </c>
      <c r="E4" s="17"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18">
        <f>Closure_Model!B20</f>
        <v/>
      </c>
      <c r="C6" s="9">
        <f>Runway!E7</f>
        <v/>
      </c>
      <c r="D6" s="2" t="inlineStr">
        <is>
          <t>Unpublished</t>
        </is>
      </c>
      <c r="E6" s="2" t="inlineStr">
        <is>
          <t>Closure vote; the v3 central case covers 5.0% of the gap (10.8% at the base case, 21.3% at the favorable tail); longer rides; enrollment-loss risk</t>
        </is>
      </c>
    </row>
    <row r="7">
      <c r="A7" s="3" t="inlineStr">
        <is>
          <t>3. Districtwide recovery plan (menu plus levy; includes rebalancing and growing NMES)</t>
        </is>
      </c>
      <c r="B7" s="18">
        <f>Alternatives!B20</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91"/>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13" customWidth="1" min="5" max="5"/>
    <col width="13" customWidth="1" min="6" max="6"/>
    <col width="48" customWidth="1" min="7" max="7"/>
  </cols>
  <sheetData>
    <row r="1">
      <c r="A1" s="1" t="inlineStr">
        <is>
          <t>Property Tax Rates, Fund Split, Delinquency, and the 4% Option</t>
        </is>
      </c>
    </row>
    <row r="2">
      <c r="A2" s="2" t="inlineStr">
        <is>
          <t>Backs Section 9 and Figure 18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29" t="n">
        <v>61.3</v>
      </c>
      <c r="G5" s="21" t="inlineStr">
        <is>
          <t>2019 documented as the board taking the 4% option (Bourbon County Citizen, 9/4/2019); other years' rate type undetermined pending KDE levy files</t>
        </is>
      </c>
    </row>
    <row r="6">
      <c r="A6" s="3" t="inlineStr">
        <is>
          <t>2019</t>
        </is>
      </c>
      <c r="B6" s="29" t="n">
        <v>60.6</v>
      </c>
    </row>
    <row r="7">
      <c r="A7" s="3" t="inlineStr">
        <is>
          <t>2020</t>
        </is>
      </c>
      <c r="B7" s="29" t="n">
        <v>55.9</v>
      </c>
    </row>
    <row r="8">
      <c r="A8" s="3" t="inlineStr">
        <is>
          <t>2021</t>
        </is>
      </c>
      <c r="B8" s="29" t="n">
        <v>54.2</v>
      </c>
    </row>
    <row r="9">
      <c r="A9" s="3" t="inlineStr">
        <is>
          <t>2022</t>
        </is>
      </c>
      <c r="B9" s="29" t="n">
        <v>49.2</v>
      </c>
    </row>
    <row r="10">
      <c r="A10" s="3" t="inlineStr">
        <is>
          <t>2023</t>
        </is>
      </c>
      <c r="B10" s="29" t="n">
        <v>52.4</v>
      </c>
    </row>
    <row r="11">
      <c r="A11" s="3" t="inlineStr">
        <is>
          <t>2024</t>
        </is>
      </c>
      <c r="B11" s="29" t="n">
        <v>52.4</v>
      </c>
    </row>
    <row r="12">
      <c r="A12" s="3" t="inlineStr">
        <is>
          <t>2025</t>
        </is>
      </c>
      <c r="B12" s="29" t="n">
        <v>52.4</v>
      </c>
    </row>
    <row r="14">
      <c r="A14" s="3" t="inlineStr">
        <is>
          <t>Tangible/personal rate (recent)</t>
        </is>
      </c>
      <c r="B14" s="29" t="n">
        <v>64.5</v>
      </c>
    </row>
    <row r="15">
      <c r="A15" s="3" t="inlineStr">
        <is>
          <t>Motor vehicle rate</t>
        </is>
      </c>
      <c r="B15" s="29" t="n">
        <v>54.7</v>
      </c>
    </row>
    <row r="16">
      <c r="A16" s="3" t="inlineStr">
        <is>
          <t>Utility gross receipts</t>
        </is>
      </c>
      <c r="B16" s="13" t="n">
        <v>0.03</v>
      </c>
    </row>
    <row r="18">
      <c r="A18" s="4" t="inlineStr">
        <is>
          <t>AREA DISTRICTS, LEVIED REAL ESTATE RATE 2024-25</t>
        </is>
      </c>
    </row>
    <row r="19">
      <c r="A19" s="3" t="inlineStr">
        <is>
          <t>Fayette County</t>
        </is>
      </c>
      <c r="B19" s="29"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29" t="n">
        <v>71.5</v>
      </c>
    </row>
    <row r="21">
      <c r="A21" s="3" t="inlineStr">
        <is>
          <t>Clark County</t>
        </is>
      </c>
      <c r="B21" s="29" t="n">
        <v>66.8</v>
      </c>
    </row>
    <row r="22">
      <c r="A22" s="3" t="inlineStr">
        <is>
          <t>Bath County</t>
        </is>
      </c>
      <c r="B22" s="29" t="n">
        <v>63.4</v>
      </c>
    </row>
    <row r="23">
      <c r="A23" s="3" t="inlineStr">
        <is>
          <t>Scott County</t>
        </is>
      </c>
      <c r="B23" s="29" t="n">
        <v>62.9</v>
      </c>
    </row>
    <row r="24">
      <c r="A24" s="3" t="inlineStr">
        <is>
          <t>Harrison County</t>
        </is>
      </c>
      <c r="B24" s="29" t="n">
        <v>57.7</v>
      </c>
    </row>
    <row r="25">
      <c r="A25" s="3" t="inlineStr">
        <is>
          <t>Montgomery County</t>
        </is>
      </c>
      <c r="B25" s="29" t="n">
        <v>52.5</v>
      </c>
    </row>
    <row r="26">
      <c r="A26" s="3" t="inlineStr">
        <is>
          <t>Bourbon County</t>
        </is>
      </c>
      <c r="B26" s="29" t="n">
        <v>52.4</v>
      </c>
    </row>
    <row r="27">
      <c r="A27" s="3" t="inlineStr">
        <is>
          <t>Nicholas County</t>
        </is>
      </c>
      <c r="B27" s="29" t="n">
        <v>43.1</v>
      </c>
    </row>
    <row r="28">
      <c r="A28" s="3" t="inlineStr">
        <is>
          <t>Statewide school average (DOR Table II, 2025)</t>
        </is>
      </c>
      <c r="B28" s="29"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9">
        <f>B32/B38</f>
        <v/>
      </c>
    </row>
    <row r="41">
      <c r="A41" s="4" t="inlineStr">
        <is>
          <t>DELINQUENCY CHECK (collections vs certified yield)</t>
        </is>
      </c>
      <c r="B41" s="22" t="inlineStr">
        <is>
          <t>FY2024</t>
        </is>
      </c>
      <c r="C41" s="22"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9">
        <f>B44/B42</f>
        <v/>
      </c>
      <c r="C45" s="19">
        <f>C44/C42</f>
        <v/>
      </c>
    </row>
    <row r="47">
      <c r="A47" s="4" t="inlineStr">
        <is>
          <t>FOUR PERCENT OPTION, THREE-YEAR PATH (KRS 160.470)</t>
        </is>
      </c>
    </row>
    <row r="48">
      <c r="A48" s="3" t="inlineStr">
        <is>
          <t>Base: FY2025 General Fund real + personal collections</t>
        </is>
      </c>
      <c r="B48" s="18">
        <f>B32</f>
        <v/>
      </c>
      <c r="G48" s="21" t="inlineStr">
        <is>
          <t>Basis: 4% more revenue from EXISTING real + personal property than the compensating rate, on the GENERAL FUND levy only. The restricted building-fund (FSPK, $2,052,786) and debt levies are excluded because that money cannot pay operating costs, the same restricted-funds rule this report applies to closure.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9">
        <f>B53/(Assumptions!B24-Assumptions!B21)</f>
        <v/>
      </c>
    </row>
    <row r="56">
      <c r="A56" s="4" t="inlineStr">
        <is>
          <t>FOURTEEN YEARS OF LEVIED RATES, NINE AREA DISTRICTS (KDE Local District Tax Levies files, Total Real Estate column; cross-checked against DOR rate books 2024-2025, all nine reconcile exactly; archived as build/ky_levy_history_2012_2026.csv)</t>
        </is>
      </c>
    </row>
    <row r="57">
      <c r="A57" s="17" t="inlineStr">
        <is>
          <t>District</t>
        </is>
      </c>
      <c r="B57" s="17" t="inlineStr">
        <is>
          <t>2012-13</t>
        </is>
      </c>
      <c r="C57" s="17" t="inlineStr">
        <is>
          <t>2013-14</t>
        </is>
      </c>
      <c r="D57" s="17" t="inlineStr">
        <is>
          <t>2014-15</t>
        </is>
      </c>
      <c r="E57" s="17" t="inlineStr">
        <is>
          <t>2015-16</t>
        </is>
      </c>
      <c r="F57" s="17" t="inlineStr">
        <is>
          <t>2016-17</t>
        </is>
      </c>
      <c r="G57" s="17" t="inlineStr">
        <is>
          <t>2017-18</t>
        </is>
      </c>
      <c r="H57" s="17" t="inlineStr">
        <is>
          <t>2018-19</t>
        </is>
      </c>
      <c r="I57" s="17" t="inlineStr">
        <is>
          <t>2019-20</t>
        </is>
      </c>
      <c r="J57" s="17" t="inlineStr">
        <is>
          <t>2020-21</t>
        </is>
      </c>
      <c r="K57" s="17" t="inlineStr">
        <is>
          <t>2021-22</t>
        </is>
      </c>
      <c r="L57" s="17" t="inlineStr">
        <is>
          <t>2022-23</t>
        </is>
      </c>
      <c r="M57" s="17" t="inlineStr">
        <is>
          <t>2023-24</t>
        </is>
      </c>
      <c r="N57" s="17" t="inlineStr">
        <is>
          <t>2024-25</t>
        </is>
      </c>
      <c r="O57" s="17" t="inlineStr">
        <is>
          <t>2025-26</t>
        </is>
      </c>
      <c r="P57" s="17" t="inlineStr">
        <is>
          <t>Change</t>
        </is>
      </c>
    </row>
    <row r="58">
      <c r="A58" s="3" t="inlineStr">
        <is>
          <t>Bath</t>
        </is>
      </c>
      <c r="B58" s="29" t="n">
        <v>36.8</v>
      </c>
      <c r="C58" s="29" t="n">
        <v>44</v>
      </c>
      <c r="D58" s="29" t="n">
        <v>44.2</v>
      </c>
      <c r="E58" s="29" t="n">
        <v>44.8</v>
      </c>
      <c r="F58" s="29" t="n">
        <v>44.8</v>
      </c>
      <c r="G58" s="29" t="n">
        <v>47.2</v>
      </c>
      <c r="H58" s="29" t="n">
        <v>52.6</v>
      </c>
      <c r="I58" s="29" t="n">
        <v>52.6</v>
      </c>
      <c r="J58" s="29" t="n">
        <v>52.6</v>
      </c>
      <c r="K58" s="29" t="n">
        <v>52.4</v>
      </c>
      <c r="L58" s="29" t="n">
        <v>54.1</v>
      </c>
      <c r="M58" s="29" t="n">
        <v>57.8</v>
      </c>
      <c r="N58" s="29" t="n">
        <v>60.7</v>
      </c>
      <c r="O58" s="29" t="n">
        <v>63.4</v>
      </c>
      <c r="P58" s="33">
        <f>(O58/B58-1)</f>
        <v/>
      </c>
    </row>
    <row r="59">
      <c r="A59" s="3" t="inlineStr">
        <is>
          <t>Scott</t>
        </is>
      </c>
      <c r="B59" s="29" t="n">
        <v>45.3</v>
      </c>
      <c r="C59" s="29" t="n">
        <v>47.2</v>
      </c>
      <c r="D59" s="29" t="n">
        <v>47.6</v>
      </c>
      <c r="E59" s="29" t="n">
        <v>49</v>
      </c>
      <c r="F59" s="29" t="n">
        <v>49.6</v>
      </c>
      <c r="G59" s="29" t="n">
        <v>56.4</v>
      </c>
      <c r="H59" s="29" t="n">
        <v>56.4</v>
      </c>
      <c r="I59" s="29" t="n">
        <v>57.1</v>
      </c>
      <c r="J59" s="29" t="n">
        <v>57.6</v>
      </c>
      <c r="K59" s="29" t="n">
        <v>58.1</v>
      </c>
      <c r="L59" s="29" t="n">
        <v>58.1</v>
      </c>
      <c r="M59" s="29" t="n">
        <v>62.8</v>
      </c>
      <c r="N59" s="29" t="n">
        <v>62.9</v>
      </c>
      <c r="O59" s="29" t="n">
        <v>62.9</v>
      </c>
      <c r="P59" s="33">
        <f>(O59/B59-1)</f>
        <v/>
      </c>
    </row>
    <row r="60">
      <c r="A60" s="3" t="inlineStr">
        <is>
          <t>Harrison</t>
        </is>
      </c>
      <c r="B60" s="29" t="n">
        <v>43</v>
      </c>
      <c r="C60" s="29" t="n">
        <v>45.2</v>
      </c>
      <c r="D60" s="29" t="n">
        <v>47.2</v>
      </c>
      <c r="E60" s="29" t="n">
        <v>47.3</v>
      </c>
      <c r="F60" s="29" t="n">
        <v>49</v>
      </c>
      <c r="G60" s="29" t="n">
        <v>50.5</v>
      </c>
      <c r="H60" s="29" t="n">
        <v>50.5</v>
      </c>
      <c r="I60" s="29" t="n">
        <v>51.7</v>
      </c>
      <c r="J60" s="29" t="n">
        <v>51.7</v>
      </c>
      <c r="K60" s="29" t="n">
        <v>57.7</v>
      </c>
      <c r="L60" s="29" t="n">
        <v>57.7</v>
      </c>
      <c r="M60" s="29" t="n">
        <v>57.7</v>
      </c>
      <c r="N60" s="29" t="n">
        <v>57.7</v>
      </c>
      <c r="O60" s="29" t="n">
        <v>57.7</v>
      </c>
      <c r="P60" s="33">
        <f>(O60/B60-1)</f>
        <v/>
      </c>
    </row>
    <row r="61">
      <c r="A61" s="3" t="inlineStr">
        <is>
          <t>Clark</t>
        </is>
      </c>
      <c r="B61" s="29" t="n">
        <v>53.6</v>
      </c>
      <c r="C61" s="29" t="n">
        <v>55.9</v>
      </c>
      <c r="D61" s="29" t="n">
        <v>57.4</v>
      </c>
      <c r="E61" s="29" t="n">
        <v>60</v>
      </c>
      <c r="F61" s="29" t="n">
        <v>62.2</v>
      </c>
      <c r="G61" s="29" t="n">
        <v>62.2</v>
      </c>
      <c r="H61" s="29" t="n">
        <v>62.2</v>
      </c>
      <c r="I61" s="29" t="n">
        <v>63.7</v>
      </c>
      <c r="J61" s="29" t="n">
        <v>63.7</v>
      </c>
      <c r="K61" s="29" t="n">
        <v>64.90000000000001</v>
      </c>
      <c r="L61" s="29" t="n">
        <v>65.90000000000001</v>
      </c>
      <c r="M61" s="29" t="n">
        <v>67.5</v>
      </c>
      <c r="N61" s="29" t="n">
        <v>66.8</v>
      </c>
      <c r="O61" s="29" t="n">
        <v>65.5</v>
      </c>
      <c r="P61" s="33">
        <f>(O61/B61-1)</f>
        <v/>
      </c>
    </row>
    <row r="62">
      <c r="A62" s="3" t="inlineStr">
        <is>
          <t>Fayette</t>
        </is>
      </c>
      <c r="B62" s="29" t="n">
        <v>67.40000000000001</v>
      </c>
      <c r="C62" s="29" t="n">
        <v>69.59999999999999</v>
      </c>
      <c r="D62" s="29" t="n">
        <v>71.90000000000001</v>
      </c>
      <c r="E62" s="29" t="n">
        <v>74</v>
      </c>
      <c r="F62" s="29" t="n">
        <v>75</v>
      </c>
      <c r="G62" s="29" t="n">
        <v>75</v>
      </c>
      <c r="H62" s="29" t="n">
        <v>81</v>
      </c>
      <c r="I62" s="29" t="n">
        <v>81</v>
      </c>
      <c r="J62" s="29" t="n">
        <v>81</v>
      </c>
      <c r="K62" s="29" t="n">
        <v>80.8</v>
      </c>
      <c r="L62" s="29" t="n">
        <v>83.3</v>
      </c>
      <c r="M62" s="29" t="n">
        <v>81</v>
      </c>
      <c r="N62" s="29" t="n">
        <v>80.90000000000001</v>
      </c>
      <c r="O62" s="29" t="n">
        <v>79.8</v>
      </c>
      <c r="P62" s="33">
        <f>(O62/B62-1)</f>
        <v/>
      </c>
    </row>
    <row r="63">
      <c r="A63" s="3" t="inlineStr">
        <is>
          <t>Paris Ind</t>
        </is>
      </c>
      <c r="B63" s="29" t="n">
        <v>61</v>
      </c>
      <c r="C63" s="29" t="n">
        <v>64.09999999999999</v>
      </c>
      <c r="D63" s="29" t="n">
        <v>66.5</v>
      </c>
      <c r="E63" s="29" t="n">
        <v>69</v>
      </c>
      <c r="F63" s="29" t="n">
        <v>71.59999999999999</v>
      </c>
      <c r="G63" s="29" t="n">
        <v>74.40000000000001</v>
      </c>
      <c r="H63" s="29" t="n">
        <v>78.3</v>
      </c>
      <c r="I63" s="29" t="n">
        <v>80.40000000000001</v>
      </c>
      <c r="J63" s="29" t="n">
        <v>68.7</v>
      </c>
      <c r="K63" s="29" t="n">
        <v>74.5</v>
      </c>
      <c r="L63" s="29" t="n">
        <v>71.5</v>
      </c>
      <c r="M63" s="29" t="n">
        <v>71.5</v>
      </c>
      <c r="N63" s="29" t="n">
        <v>71.5</v>
      </c>
      <c r="O63" s="29" t="n">
        <v>71.5</v>
      </c>
      <c r="P63" s="33">
        <f>(O63/B63-1)</f>
        <v/>
      </c>
    </row>
    <row r="64">
      <c r="A64" s="3" t="inlineStr">
        <is>
          <t>Nicholas</t>
        </is>
      </c>
      <c r="B64" s="29" t="n">
        <v>38.4</v>
      </c>
      <c r="C64" s="29" t="n">
        <v>38.7</v>
      </c>
      <c r="D64" s="29" t="n">
        <v>38.5</v>
      </c>
      <c r="E64" s="29" t="n">
        <v>38.3</v>
      </c>
      <c r="F64" s="29" t="n">
        <v>38.5</v>
      </c>
      <c r="G64" s="29" t="n">
        <v>39.5</v>
      </c>
      <c r="H64" s="29" t="n">
        <v>39.6</v>
      </c>
      <c r="I64" s="29" t="n">
        <v>41</v>
      </c>
      <c r="J64" s="29" t="n">
        <v>40.1</v>
      </c>
      <c r="K64" s="29" t="n">
        <v>40.2</v>
      </c>
      <c r="L64" s="29" t="n">
        <v>41.4</v>
      </c>
      <c r="M64" s="29" t="n">
        <v>42.5</v>
      </c>
      <c r="N64" s="29" t="n">
        <v>43.6</v>
      </c>
      <c r="O64" s="29" t="n">
        <v>43.1</v>
      </c>
      <c r="P64" s="33">
        <f>(O64/B64-1)</f>
        <v/>
      </c>
    </row>
    <row r="65">
      <c r="A65" s="3" t="inlineStr">
        <is>
          <t>Montgomery</t>
        </is>
      </c>
      <c r="B65" s="29" t="n">
        <v>49.4</v>
      </c>
      <c r="C65" s="29" t="n">
        <v>49.4</v>
      </c>
      <c r="D65" s="29" t="n">
        <v>49</v>
      </c>
      <c r="E65" s="29" t="n">
        <v>48.9</v>
      </c>
      <c r="F65" s="29" t="n">
        <v>50.8</v>
      </c>
      <c r="G65" s="29" t="n">
        <v>51.3</v>
      </c>
      <c r="H65" s="29" t="n">
        <v>52.8</v>
      </c>
      <c r="I65" s="29" t="n">
        <v>52.3</v>
      </c>
      <c r="J65" s="29" t="n">
        <v>52.3</v>
      </c>
      <c r="K65" s="29" t="n">
        <v>52.3</v>
      </c>
      <c r="L65" s="29" t="n">
        <v>52.2</v>
      </c>
      <c r="M65" s="29" t="n">
        <v>52.4</v>
      </c>
      <c r="N65" s="29" t="n">
        <v>52.5</v>
      </c>
      <c r="O65" s="29" t="n">
        <v>52.5</v>
      </c>
      <c r="P65" s="33">
        <f>(O65/B65-1)</f>
        <v/>
      </c>
    </row>
    <row r="66">
      <c r="A66" s="3" t="inlineStr">
        <is>
          <t>Bourbon Co</t>
        </is>
      </c>
      <c r="B66" s="29" t="n">
        <v>55.4</v>
      </c>
      <c r="C66" s="29" t="n">
        <v>57.6</v>
      </c>
      <c r="D66" s="29" t="n">
        <v>57.3</v>
      </c>
      <c r="E66" s="29" t="n">
        <v>59.1</v>
      </c>
      <c r="F66" s="29" t="n">
        <v>58.8</v>
      </c>
      <c r="G66" s="29" t="n">
        <v>60</v>
      </c>
      <c r="H66" s="29" t="n">
        <v>61.3</v>
      </c>
      <c r="I66" s="29" t="n">
        <v>60.6</v>
      </c>
      <c r="J66" s="29" t="n">
        <v>55.9</v>
      </c>
      <c r="K66" s="29" t="n">
        <v>54.2</v>
      </c>
      <c r="L66" s="29" t="n">
        <v>49.2</v>
      </c>
      <c r="M66" s="29" t="n">
        <v>52.4</v>
      </c>
      <c r="N66" s="29" t="n">
        <v>52.4</v>
      </c>
      <c r="O66" s="29" t="n">
        <v>52.4</v>
      </c>
      <c r="P66" s="33">
        <f>(O66/B66-1)</f>
        <v/>
      </c>
    </row>
    <row r="68">
      <c r="A68" s="21" t="inlineStr">
        <is>
          <t>Bourbon County is the only district in the region whose levied rate is lower today than in tax year 2012 (55.4 down to 52.4, minus 5.4 percent); Bath rose 72.3 percent, Scott 38.9, Harrison 34.2, Clark 22.2, Fayette 18.4, Paris Independent 17.2. Honesty notes: these are levied RATES, not revenue effort; under HB 44 the compensating rate falls as assessments grow, so the chart nets each board's levy choices against its assessment growth. Bourbon took the 4 percent option in 5 of the last 12 years (KDE levied-type file); the rate fell anyway because the other years took compensating or less, including the 12-cent slide of 2018-2022. Neighbors that rose took the 4 percent 7 to 9 times over the same window.</t>
        </is>
      </c>
    </row>
    <row r="70">
      <c r="A70" s="4" t="inlineStr">
        <is>
          <t>BEYOND THE 4 PERCENT: THE RECALLABLE LEVY OPTIONS (KRS 160.470; backs the levy card and Section 9)</t>
        </is>
      </c>
    </row>
    <row r="71">
      <c r="A71" s="3" t="inlineStr">
        <is>
          <t>General Fund share of the levied 52.4 cents (KDE levied-rates file: 41.0 GF + 5.7 FSPK + 5.7 recallable)</t>
        </is>
      </c>
      <c r="B71" s="29" t="n">
        <v>41</v>
      </c>
    </row>
    <row r="72">
      <c r="A72" s="3" t="inlineStr">
        <is>
          <t>Yield per cent of General Fund rate, per year</t>
        </is>
      </c>
      <c r="B72" s="9">
        <f>B32/B71</f>
        <v/>
      </c>
      <c r="G72" s="21" t="inlineStr">
        <is>
          <t>FY2025 GF collections divided by the 41.0 GF cents: about $191,000 per cent. Real and personal property only; tangible and motor vehicle rates untouched, so every figure below is conservative</t>
        </is>
      </c>
    </row>
    <row r="73">
      <c r="A73" s="3" t="inlineStr">
        <is>
          <t>Median owner-occupied home value, Bourbon County (Census ACS 2019-2023, table B25077)</t>
        </is>
      </c>
      <c r="B73" s="8" t="n">
        <v>211600</v>
      </c>
    </row>
    <row r="74">
      <c r="A74" s="3" t="inlineStr">
        <is>
          <t>Cost per added cent to that household, per year</t>
        </is>
      </c>
      <c r="B74" s="34">
        <f>B73*0.01/100</f>
        <v/>
      </c>
      <c r="G74" s="21" t="inlineStr">
        <is>
          <t>$21.16 a year, $1.76 a month, per added cent. Homestead exemption shields about $46,000 of a senior homeowner's value; farmland is assessed at agricultural use value, not market; renters pay only what landlords pass through</t>
        </is>
      </c>
    </row>
    <row r="76">
      <c r="A76" s="17" t="inlineStr">
        <is>
          <t>Option</t>
        </is>
      </c>
      <c r="B76" s="17" t="inlineStr">
        <is>
          <t>New rate</t>
        </is>
      </c>
      <c r="C76" s="17" t="inlineStr">
        <is>
          <t>Added cents</t>
        </is>
      </c>
      <c r="D76" s="17" t="inlineStr">
        <is>
          <t>Revenue per year</t>
        </is>
      </c>
      <c r="E76" s="17" t="inlineStr">
        <is>
          <t>Median-home cost/yr</t>
        </is>
      </c>
      <c r="F76" s="17" t="inlineStr">
        <is>
          <t>Direct bond capacity</t>
        </is>
      </c>
    </row>
    <row r="77">
      <c r="A77" s="3" t="inlineStr">
        <is>
          <t>Match Harrison County (2025-26 levied rate)</t>
        </is>
      </c>
      <c r="B77" s="20">
        <f>B24</f>
        <v/>
      </c>
      <c r="C77" s="35">
        <f>B77-B12</f>
        <v/>
      </c>
      <c r="D77" s="9">
        <f>C77*$B$72</f>
        <v/>
      </c>
      <c r="E77" s="9">
        <f>C77*$B$74</f>
        <v/>
      </c>
      <c r="F77" s="9">
        <f>D77*(1-(1+Debt_Service!B40)^-Debt_Service!B41)/Debt_Service!B40</f>
        <v/>
      </c>
      <c r="G77" s="21" t="inlineStr">
        <is>
          <t>Rates pulled live from this tab: Harrison row 24, the 2025-26 columns of the levy table, and Bourbon's own 2018 row. Direct bond capacity uses the Debt_Service tab's 4.5 percent, 20-year assumption, the same one that prices the $14 million nickel-residual bond</t>
        </is>
      </c>
    </row>
    <row r="78">
      <c r="A78" s="3" t="inlineStr">
        <is>
          <t>Match the regional median (eight area districts, Fayette excluded)</t>
        </is>
      </c>
      <c r="B78" s="20">
        <f>MEDIAN(O58,O59,O60,O61,O63,O64,O65,O66)</f>
        <v/>
      </c>
      <c r="C78" s="35">
        <f>B78-B12</f>
        <v/>
      </c>
      <c r="D78" s="9">
        <f>C78*$B$72</f>
        <v/>
      </c>
      <c r="E78" s="9">
        <f>C78*$B$74</f>
        <v/>
      </c>
      <c r="F78" s="9">
        <f>D78*(1-(1+Debt_Service!B40)^-Debt_Service!B41)/Debt_Service!B40</f>
        <v/>
      </c>
    </row>
    <row r="79">
      <c r="A79" s="3" t="inlineStr">
        <is>
          <t>Restore Bourbon's own 2018 rate</t>
        </is>
      </c>
      <c r="B79" s="20">
        <f>B5</f>
        <v/>
      </c>
      <c r="C79" s="35">
        <f>B79-B12</f>
        <v/>
      </c>
      <c r="D79" s="9">
        <f>C79*$B$72</f>
        <v/>
      </c>
      <c r="E79" s="9">
        <f>C79*$B$74</f>
        <v/>
      </c>
      <c r="F79" s="9">
        <f>D79*(1-(1+Debt_Service!B40)^-Debt_Service!B41)/Debt_Service!B40</f>
        <v/>
      </c>
    </row>
    <row r="80">
      <c r="A80" s="3" t="inlineStr">
        <is>
          <t>Match Clark County (2025-26 levied rate)</t>
        </is>
      </c>
      <c r="B80" s="20">
        <f>O61</f>
        <v/>
      </c>
      <c r="C80" s="35">
        <f>B80-B12</f>
        <v/>
      </c>
      <c r="D80" s="9">
        <f>C80*$B$72</f>
        <v/>
      </c>
      <c r="E80" s="9">
        <f>C80*$B$74</f>
        <v/>
      </c>
      <c r="F80" s="9">
        <f>D80*(1-(1+Debt_Service!B40)^-Debt_Service!B41)/Debt_Service!B40</f>
        <v/>
      </c>
    </row>
    <row r="82">
      <c r="A82" s="4" t="inlineStr">
        <is>
          <t>THE SEQUENCE: BALANCE THE BUDGET FIRST, THEN BOND</t>
        </is>
      </c>
    </row>
    <row r="83">
      <c r="A83" s="3" t="inlineStr">
        <is>
          <t>First call on new recurring money: operating gap (FY2026 trend) plus ending the capital-to-GF sweep</t>
        </is>
      </c>
      <c r="B83" s="9">
        <f>Debt_Service!C96+Debt_Service!B99</f>
        <v/>
      </c>
      <c r="G83" s="21" t="inlineStr">
        <is>
          <t>$373,989 gap plus the $1,320,939 sweep = $1,694,928. Ending the sweep is what frees the building-fund residual to service new bonds</t>
        </is>
      </c>
    </row>
    <row r="84">
      <c r="A84" s="3" t="inlineStr">
        <is>
          <t>Revenue from restoring the 2018 rate</t>
        </is>
      </c>
      <c r="B84" s="9">
        <f>D79</f>
        <v/>
      </c>
    </row>
    <row r="85">
      <c r="A85" s="3" t="inlineStr">
        <is>
          <t>Margin after the gap is closed and the sweep ended</t>
        </is>
      </c>
      <c r="B85" s="23">
        <f>B84-B83</f>
        <v/>
      </c>
      <c r="G85" s="21" t="inlineStr">
        <is>
          <t>About $4,551. The rate this board itself levied in 2018 is, almost to the dollar, the make-the-General-Fund-stand-alone rate</t>
        </is>
      </c>
    </row>
    <row r="86">
      <c r="A86" s="3" t="inlineStr">
        <is>
          <t>Capacity unlocked once the sweep ends: nickel-residual bond</t>
        </is>
      </c>
      <c r="B86" s="9">
        <f>Debt_Service!B90</f>
        <v/>
      </c>
    </row>
    <row r="87">
      <c r="A87" s="3" t="inlineStr">
        <is>
          <t xml:space="preserve">  plus remaining restricted capacity (FY2024 audit less the 2024 issue)</t>
        </is>
      </c>
      <c r="B87" s="9">
        <f>Debt_Service!B64</f>
        <v/>
      </c>
    </row>
    <row r="88">
      <c r="A88" s="3" t="inlineStr">
        <is>
          <t xml:space="preserve">  plus bonds the new nickel equalization supports</t>
        </is>
      </c>
      <c r="B88" s="9">
        <f>Debt_Service!B68</f>
        <v/>
      </c>
    </row>
    <row r="89">
      <c r="A89" s="3" t="inlineStr">
        <is>
          <t>Construction capacity unlocked without pledging a cent of the new levy</t>
        </is>
      </c>
      <c r="B89" s="23">
        <f>B86+B87+B88</f>
        <v/>
      </c>
      <c r="G89" s="21" t="inlineStr">
        <is>
          <t>Roughly $35 million, for $15.69 a month on the median home, with nothing closed. The Harrison and median options are honest partial steps, leaving about $680,000 and $190,000 a year to find from the alternatives menu before the sweep can end; the Clark option adds about $10.5 million more direct capacity from its surplus</t>
        </is>
      </c>
    </row>
    <row r="91">
      <c r="A91" s="21" t="inlineStr">
        <is>
          <t>None of these is a recommendation of a particular number, and none is counted in the alternatives package total. The point is narrower: a menu of options exists between cut nothing and close a school, every one prices out larger than the most generous closure estimate, and every one carries a built-in democratic check. A levy above 4 percent can be recalled by the voters it taxes. A closed school cannot be recalled by the children it displaces. This community was offered that veto twice on the facilities nickels and twice declined to use it; it has never been offered the same vote on the operating levy that pays teachers.</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9">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14)</t>
        </is>
      </c>
    </row>
    <row r="33">
      <c r="A33" s="3" t="inlineStr">
        <is>
          <t>Peak enrollment (1988-89)</t>
        </is>
      </c>
      <c r="B33" s="11">
        <f>MAX(F33:F51,I33:I50)</f>
        <v/>
      </c>
      <c r="E33" s="22" t="inlineStr">
        <is>
          <t>1989</t>
        </is>
      </c>
      <c r="F33" s="10" t="n">
        <v>261</v>
      </c>
      <c r="H33" s="22" t="inlineStr">
        <is>
          <t>2008</t>
        </is>
      </c>
      <c r="I33" s="10" t="n">
        <v>224</v>
      </c>
      <c r="J33" s="21" t="inlineStr">
        <is>
          <t>1989-2014 compiled by PublicSchoolReview from federal data; 2015-2025 match NCES directly</t>
        </is>
      </c>
    </row>
    <row r="34">
      <c r="A34" s="3" t="inlineStr">
        <is>
          <t>Latest official count (2024-25)</t>
        </is>
      </c>
      <c r="B34" s="11">
        <f>I50</f>
        <v/>
      </c>
      <c r="E34" s="22" t="inlineStr">
        <is>
          <t>1990</t>
        </is>
      </c>
      <c r="F34" s="10" t="n">
        <v>255</v>
      </c>
      <c r="H34" s="22" t="inlineStr">
        <is>
          <t>2009</t>
        </is>
      </c>
      <c r="I34" s="10" t="n">
        <v>217</v>
      </c>
    </row>
    <row r="35">
      <c r="A35" s="3" t="inlineStr">
        <is>
          <t>Decline from peak</t>
        </is>
      </c>
      <c r="B35" s="11">
        <f>B33-B34</f>
        <v/>
      </c>
      <c r="E35" s="22" t="inlineStr">
        <is>
          <t>1991</t>
        </is>
      </c>
      <c r="F35" s="10" t="n">
        <v>234</v>
      </c>
      <c r="H35" s="22" t="inlineStr">
        <is>
          <t>2010</t>
        </is>
      </c>
      <c r="I35" s="10" t="n">
        <v>177</v>
      </c>
    </row>
    <row r="36">
      <c r="A36" s="3" t="inlineStr">
        <is>
          <t>Decline as a share of peak</t>
        </is>
      </c>
      <c r="B36" s="19">
        <f>B35/B33</f>
        <v/>
      </c>
      <c r="E36" s="22" t="inlineStr">
        <is>
          <t>1992</t>
        </is>
      </c>
      <c r="F36" s="10" t="n">
        <v>225</v>
      </c>
      <c r="H36" s="22" t="inlineStr">
        <is>
          <t>2011</t>
        </is>
      </c>
      <c r="I36" s="10" t="n">
        <v>165</v>
      </c>
    </row>
    <row r="37">
      <c r="A37" s="3" t="inlineStr">
        <is>
          <t>Current rated capacity</t>
        </is>
      </c>
      <c r="B37" s="25">
        <f>Assumptions!B12</f>
        <v/>
      </c>
      <c r="E37" s="22" t="inlineStr">
        <is>
          <t>1993</t>
        </is>
      </c>
      <c r="F37" s="10" t="n">
        <v>202</v>
      </c>
      <c r="H37" s="22" t="inlineStr">
        <is>
          <t>2012</t>
        </is>
      </c>
      <c r="I37" s="10" t="n">
        <v>167</v>
      </c>
    </row>
    <row r="38">
      <c r="E38" s="22" t="inlineStr">
        <is>
          <t>1994</t>
        </is>
      </c>
      <c r="F38" s="10" t="n">
        <v>203</v>
      </c>
      <c r="H38" s="22" t="inlineStr">
        <is>
          <t>2013</t>
        </is>
      </c>
      <c r="I38" s="10" t="n">
        <v>154</v>
      </c>
    </row>
    <row r="39">
      <c r="E39" s="22" t="inlineStr">
        <is>
          <t>1995</t>
        </is>
      </c>
      <c r="F39" s="10" t="n">
        <v>182</v>
      </c>
      <c r="H39" s="22" t="inlineStr">
        <is>
          <t>2014</t>
        </is>
      </c>
      <c r="I39" s="10" t="n">
        <v>154</v>
      </c>
    </row>
    <row r="40">
      <c r="E40" s="22" t="inlineStr">
        <is>
          <t>1996</t>
        </is>
      </c>
      <c r="F40" s="10" t="n">
        <v>196</v>
      </c>
      <c r="H40" s="22" t="inlineStr">
        <is>
          <t>2015</t>
        </is>
      </c>
      <c r="I40" s="10" t="n">
        <v>155</v>
      </c>
    </row>
    <row r="41">
      <c r="E41" s="22" t="inlineStr">
        <is>
          <t>1997</t>
        </is>
      </c>
      <c r="F41" s="10" t="n">
        <v>208</v>
      </c>
      <c r="H41" s="22" t="inlineStr">
        <is>
          <t>2016</t>
        </is>
      </c>
      <c r="I41" s="10" t="n">
        <v>154</v>
      </c>
    </row>
    <row r="42">
      <c r="E42" s="22" t="inlineStr">
        <is>
          <t>1998</t>
        </is>
      </c>
      <c r="F42" s="10" t="n">
        <v>198</v>
      </c>
      <c r="H42" s="22" t="inlineStr">
        <is>
          <t>2017</t>
        </is>
      </c>
      <c r="I42" s="10" t="n">
        <v>131</v>
      </c>
    </row>
    <row r="43">
      <c r="E43" s="22" t="inlineStr">
        <is>
          <t>1999</t>
        </is>
      </c>
      <c r="F43" s="10" t="n">
        <v>205</v>
      </c>
      <c r="H43" s="22" t="inlineStr">
        <is>
          <t>2018</t>
        </is>
      </c>
      <c r="I43" s="10" t="n">
        <v>131</v>
      </c>
    </row>
    <row r="44">
      <c r="E44" s="22" t="inlineStr">
        <is>
          <t>2000</t>
        </is>
      </c>
      <c r="F44" s="10" t="n">
        <v>195</v>
      </c>
      <c r="H44" s="22" t="inlineStr">
        <is>
          <t>2019</t>
        </is>
      </c>
      <c r="I44" s="10" t="n">
        <v>160</v>
      </c>
    </row>
    <row r="45">
      <c r="E45" s="22" t="inlineStr">
        <is>
          <t>2001</t>
        </is>
      </c>
      <c r="F45" s="10" t="n">
        <v>195</v>
      </c>
      <c r="H45" s="22" t="inlineStr">
        <is>
          <t>2020</t>
        </is>
      </c>
      <c r="I45" s="10" t="n">
        <v>160</v>
      </c>
    </row>
    <row r="46">
      <c r="E46" s="22" t="inlineStr">
        <is>
          <t>2002</t>
        </is>
      </c>
      <c r="F46" s="10" t="n">
        <v>203</v>
      </c>
      <c r="H46" s="22" t="inlineStr">
        <is>
          <t>2021</t>
        </is>
      </c>
      <c r="I46" s="10" t="n">
        <v>148</v>
      </c>
    </row>
    <row r="47">
      <c r="E47" s="22" t="inlineStr">
        <is>
          <t>2003</t>
        </is>
      </c>
      <c r="F47" s="10" t="n">
        <v>196</v>
      </c>
      <c r="H47" s="22" t="inlineStr">
        <is>
          <t>2022</t>
        </is>
      </c>
      <c r="I47" s="10" t="n">
        <v>153</v>
      </c>
    </row>
    <row r="48">
      <c r="E48" s="22" t="inlineStr">
        <is>
          <t>2004</t>
        </is>
      </c>
      <c r="F48" s="10" t="n">
        <v>206</v>
      </c>
      <c r="H48" s="22" t="inlineStr">
        <is>
          <t>2023</t>
        </is>
      </c>
      <c r="I48" s="10" t="n">
        <v>145</v>
      </c>
    </row>
    <row r="49">
      <c r="E49" s="22" t="inlineStr">
        <is>
          <t>2005</t>
        </is>
      </c>
      <c r="F49" s="10" t="n">
        <v>204</v>
      </c>
      <c r="H49" s="22" t="inlineStr">
        <is>
          <t>2024</t>
        </is>
      </c>
      <c r="I49" s="10" t="n">
        <v>135</v>
      </c>
    </row>
    <row r="50">
      <c r="E50" s="22" t="inlineStr">
        <is>
          <t>2006</t>
        </is>
      </c>
      <c r="F50" s="10" t="n">
        <v>199</v>
      </c>
      <c r="H50" s="22" t="inlineStr">
        <is>
          <t>2025</t>
        </is>
      </c>
      <c r="I50" s="10" t="n">
        <v>128</v>
      </c>
    </row>
    <row r="51">
      <c r="E51" s="22"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14)</t>
        </is>
      </c>
    </row>
    <row r="5">
      <c r="A5" s="22" t="inlineStr">
        <is>
          <t>School year</t>
        </is>
      </c>
      <c r="B5" s="22" t="inlineStr">
        <is>
          <t>'15-16</t>
        </is>
      </c>
      <c r="C5" s="22" t="inlineStr">
        <is>
          <t>'16-17</t>
        </is>
      </c>
      <c r="D5" s="22" t="inlineStr">
        <is>
          <t>'17-18</t>
        </is>
      </c>
      <c r="E5" s="22" t="inlineStr">
        <is>
          <t>'18-19</t>
        </is>
      </c>
      <c r="F5" s="22" t="inlineStr">
        <is>
          <t>'19-20</t>
        </is>
      </c>
      <c r="G5" s="22" t="inlineStr">
        <is>
          <t>'20-21</t>
        </is>
      </c>
      <c r="H5" s="22" t="inlineStr">
        <is>
          <t>'21-22</t>
        </is>
      </c>
      <c r="I5" s="22" t="inlineStr">
        <is>
          <t>'22-23</t>
        </is>
      </c>
      <c r="J5" s="22" t="inlineStr">
        <is>
          <t>'23-24</t>
        </is>
      </c>
      <c r="K5" s="22"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6 and 7)</t>
        </is>
      </c>
    </row>
    <row r="14">
      <c r="A14" s="22" t="inlineStr">
        <is>
          <t>School (district)</t>
        </is>
      </c>
      <c r="B14" s="22" t="inlineStr">
        <is>
          <t>2007</t>
        </is>
      </c>
      <c r="C14" s="22" t="inlineStr">
        <is>
          <t>2008</t>
        </is>
      </c>
      <c r="D14" s="22" t="inlineStr">
        <is>
          <t>2009</t>
        </is>
      </c>
      <c r="E14" s="22" t="inlineStr">
        <is>
          <t>2010</t>
        </is>
      </c>
      <c r="F14" s="22" t="inlineStr">
        <is>
          <t>2011</t>
        </is>
      </c>
      <c r="G14" s="22" t="inlineStr">
        <is>
          <t>2012</t>
        </is>
      </c>
      <c r="H14" s="22" t="inlineStr">
        <is>
          <t>2013</t>
        </is>
      </c>
      <c r="I14" s="22" t="inlineStr">
        <is>
          <t>2014</t>
        </is>
      </c>
      <c r="J14" s="22" t="inlineStr">
        <is>
          <t>2015</t>
        </is>
      </c>
      <c r="K14" s="22" t="inlineStr">
        <is>
          <t>2016</t>
        </is>
      </c>
      <c r="L14" s="22" t="inlineStr">
        <is>
          <t>2017</t>
        </is>
      </c>
      <c r="M14" s="22" t="inlineStr">
        <is>
          <t>2018</t>
        </is>
      </c>
      <c r="N14" s="22" t="inlineStr">
        <is>
          <t>2019</t>
        </is>
      </c>
      <c r="O14" s="22" t="inlineStr">
        <is>
          <t>2021</t>
        </is>
      </c>
      <c r="P14" s="22" t="inlineStr">
        <is>
          <t>2022</t>
        </is>
      </c>
      <c r="Q14" s="22" t="inlineStr">
        <is>
          <t>2023</t>
        </is>
      </c>
      <c r="R14" s="22" t="inlineStr">
        <is>
          <t>2024</t>
        </is>
      </c>
      <c r="S14" s="22"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29" t="n">
        <v>56.5</v>
      </c>
      <c r="C15" s="29" t="n">
        <v>63.9</v>
      </c>
      <c r="D15" s="29" t="n">
        <v>68.59999999999999</v>
      </c>
      <c r="E15" s="29" t="n">
        <v>87.90000000000001</v>
      </c>
      <c r="F15" s="29" t="n">
        <v>85.8</v>
      </c>
      <c r="G15" s="29" t="n">
        <v>72.5</v>
      </c>
      <c r="H15" s="29" t="n">
        <v>67.59999999999999</v>
      </c>
      <c r="I15" s="29" t="n">
        <v>56.6</v>
      </c>
      <c r="J15" s="29" t="n">
        <v>56.9</v>
      </c>
      <c r="K15" s="29" t="n">
        <v>48.7</v>
      </c>
      <c r="L15" s="29" t="n">
        <v>49.3</v>
      </c>
      <c r="M15" s="29" t="n">
        <v>40</v>
      </c>
      <c r="N15" s="29" t="n">
        <v>50.4</v>
      </c>
      <c r="P15" s="29" t="n">
        <v>47.7</v>
      </c>
      <c r="Q15" s="29" t="n">
        <v>32.1</v>
      </c>
      <c r="R15" s="29" t="n">
        <v>54.1</v>
      </c>
      <c r="S15" s="29" t="n">
        <v>58.2</v>
      </c>
    </row>
    <row r="16">
      <c r="A16" s="3" t="inlineStr">
        <is>
          <t>Bourbon Central (Bourbon Co.)</t>
        </is>
      </c>
      <c r="B16" s="29" t="n">
        <v>77.5</v>
      </c>
      <c r="C16" s="29" t="n">
        <v>81.90000000000001</v>
      </c>
      <c r="D16" s="29" t="n">
        <v>72.59999999999999</v>
      </c>
      <c r="E16" s="29" t="n">
        <v>69.59999999999999</v>
      </c>
      <c r="F16" s="29" t="n">
        <v>63</v>
      </c>
      <c r="G16" s="29" t="n">
        <v>74.7</v>
      </c>
      <c r="H16" s="29" t="n">
        <v>67.59999999999999</v>
      </c>
      <c r="I16" s="29" t="n">
        <v>51.8</v>
      </c>
      <c r="J16" s="29" t="n">
        <v>52.1</v>
      </c>
      <c r="K16" s="29" t="n">
        <v>30</v>
      </c>
      <c r="L16" s="29" t="n">
        <v>34</v>
      </c>
      <c r="M16" s="29" t="n">
        <v>32.8</v>
      </c>
      <c r="N16" s="29" t="n">
        <v>39.9</v>
      </c>
      <c r="O16" s="29" t="n">
        <v>20</v>
      </c>
      <c r="P16" s="29" t="n">
        <v>29.9</v>
      </c>
      <c r="Q16" s="29" t="n">
        <v>29</v>
      </c>
      <c r="R16" s="29" t="n">
        <v>23.8</v>
      </c>
      <c r="S16" s="29" t="n">
        <v>26.5</v>
      </c>
    </row>
    <row r="17">
      <c r="A17" s="3" t="inlineStr">
        <is>
          <t>Cane Ridge (Bourbon Co.)</t>
        </is>
      </c>
      <c r="B17" s="29" t="n">
        <v>35.2</v>
      </c>
      <c r="C17" s="29" t="n">
        <v>50.9</v>
      </c>
      <c r="D17" s="29" t="n">
        <v>56.2</v>
      </c>
      <c r="E17" s="29" t="n">
        <v>65.5</v>
      </c>
      <c r="F17" s="29" t="n">
        <v>34.5</v>
      </c>
      <c r="G17" s="29" t="n">
        <v>34</v>
      </c>
      <c r="H17" s="29" t="n">
        <v>49.6</v>
      </c>
      <c r="I17" s="29" t="n">
        <v>51</v>
      </c>
      <c r="J17" s="29" t="n">
        <v>51.1</v>
      </c>
      <c r="K17" s="29" t="n">
        <v>57.5</v>
      </c>
      <c r="L17" s="29" t="n">
        <v>50.4</v>
      </c>
      <c r="M17" s="29" t="n">
        <v>41.4</v>
      </c>
      <c r="N17" s="29" t="n">
        <v>38.8</v>
      </c>
      <c r="O17" s="29" t="n">
        <v>23.8</v>
      </c>
      <c r="P17" s="29" t="n">
        <v>38.7</v>
      </c>
      <c r="Q17" s="29" t="n">
        <v>34.6</v>
      </c>
      <c r="R17" s="29" t="n">
        <v>35.8</v>
      </c>
      <c r="S17" s="29" t="n">
        <v>19.3</v>
      </c>
    </row>
    <row r="18">
      <c r="A18" s="3" t="inlineStr">
        <is>
          <t>Paris Elementary (Paris Indep.)</t>
        </is>
      </c>
      <c r="R18" s="29" t="n">
        <v>16.8</v>
      </c>
      <c r="S18" s="29" t="n">
        <v>12.2</v>
      </c>
    </row>
    <row r="19">
      <c r="A19" s="3" t="inlineStr">
        <is>
          <t>Shearer (Clark Co.)</t>
        </is>
      </c>
      <c r="R19" s="29" t="n">
        <v>30.7</v>
      </c>
      <c r="S19" s="29" t="n">
        <v>42.3</v>
      </c>
    </row>
    <row r="20">
      <c r="A20" s="3" t="inlineStr">
        <is>
          <t>Justice (Clark Co.)</t>
        </is>
      </c>
      <c r="R20" s="29" t="n">
        <v>43.2</v>
      </c>
      <c r="S20" s="29" t="n">
        <v>39.3</v>
      </c>
    </row>
    <row r="21">
      <c r="A21" s="3" t="inlineStr">
        <is>
          <t>Strode Station (Clark Co.)</t>
        </is>
      </c>
      <c r="R21" s="29" t="n">
        <v>43.2</v>
      </c>
      <c r="S21" s="29" t="n">
        <v>34.2</v>
      </c>
    </row>
    <row r="22">
      <c r="A22" s="3" t="inlineStr">
        <is>
          <t>Conkwright (Clark Co.)</t>
        </is>
      </c>
      <c r="R22" s="29" t="n">
        <v>15.6</v>
      </c>
      <c r="S22" s="29" t="n">
        <v>17.5</v>
      </c>
    </row>
    <row r="23">
      <c r="A23" s="3" t="inlineStr">
        <is>
          <t>Northview (Montgomery Co.)</t>
        </is>
      </c>
      <c r="R23" s="29" t="n">
        <v>67.40000000000001</v>
      </c>
      <c r="S23" s="29" t="n">
        <v>68.90000000000001</v>
      </c>
    </row>
    <row r="24">
      <c r="A24" s="3" t="inlineStr">
        <is>
          <t>Mapleton (Montgomery Co.)</t>
        </is>
      </c>
      <c r="R24" s="29" t="n">
        <v>65.90000000000001</v>
      </c>
      <c r="S24" s="29" t="n">
        <v>65.09999999999999</v>
      </c>
    </row>
    <row r="25">
      <c r="A25" s="3" t="inlineStr">
        <is>
          <t>Nicholas County Elementary (Nicholas Co.)</t>
        </is>
      </c>
      <c r="R25" s="29" t="n">
        <v>15.9</v>
      </c>
      <c r="T25" s="2" t="inlineStr">
        <is>
          <t>Nicholas County: 2024 value; 2025 not retrieved</t>
        </is>
      </c>
    </row>
    <row r="26">
      <c r="A26" s="3" t="inlineStr">
        <is>
          <t>Three-year average, 2023-2025: NMES / Bourbon Central / Cane Ridge</t>
        </is>
      </c>
      <c r="B26" s="20">
        <f>AVERAGE(Q15:S15)</f>
        <v/>
      </c>
      <c r="C26" s="20">
        <f>AVERAGE(Q16:S16)</f>
        <v/>
      </c>
      <c r="D26" s="20">
        <f>AVERAGE(Q17:S17)</f>
        <v/>
      </c>
    </row>
    <row r="28">
      <c r="A28" s="4" t="inlineStr">
        <is>
          <t>NMES DETAIL, 2024-25 (backs Section 5)</t>
        </is>
      </c>
    </row>
    <row r="29">
      <c r="B29" s="22" t="inlineStr">
        <is>
          <t>NMES</t>
        </is>
      </c>
      <c r="C29" s="22"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17" t="inlineStr">
        <is>
          <t>Subject</t>
        </is>
      </c>
      <c r="B34" s="36" t="inlineStr">
        <is>
          <t>NMES</t>
        </is>
      </c>
      <c r="C34" s="17" t="inlineStr">
        <is>
          <t>Bourbon Central</t>
        </is>
      </c>
      <c r="D34" s="17" t="inlineStr">
        <is>
          <t>Cane Ridge</t>
        </is>
      </c>
      <c r="E34" s="17" t="inlineStr">
        <is>
          <t>Paris Elem.</t>
        </is>
      </c>
      <c r="F34" s="17"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2" t="inlineStr">
        <is>
          <t>Percent proficient or distinguished</t>
        </is>
      </c>
      <c r="B44" s="22" t="inlineStr">
        <is>
          <t>'11-12</t>
        </is>
      </c>
      <c r="C44" s="22" t="inlineStr">
        <is>
          <t>'12-13</t>
        </is>
      </c>
      <c r="D44" s="22" t="inlineStr">
        <is>
          <t>'13-14</t>
        </is>
      </c>
      <c r="E44" s="22" t="inlineStr">
        <is>
          <t>'14-15</t>
        </is>
      </c>
      <c r="F44" s="22" t="inlineStr">
        <is>
          <t>'15-16</t>
        </is>
      </c>
      <c r="G44" s="22" t="inlineStr">
        <is>
          <t>'16-17</t>
        </is>
      </c>
      <c r="H44" s="22" t="inlineStr">
        <is>
          <t>'17-18</t>
        </is>
      </c>
      <c r="I44" s="22" t="inlineStr">
        <is>
          <t>'18-19</t>
        </is>
      </c>
      <c r="J44" s="22" t="inlineStr">
        <is>
          <t>'20-21</t>
        </is>
      </c>
      <c r="K44" s="22" t="inlineStr">
        <is>
          <t>'21-22</t>
        </is>
      </c>
      <c r="L44" s="22" t="inlineStr">
        <is>
          <t>'22-23</t>
        </is>
      </c>
      <c r="M44" s="22" t="inlineStr">
        <is>
          <t>'23-24</t>
        </is>
      </c>
      <c r="N44" s="22"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29" t="n">
        <v>51.9</v>
      </c>
      <c r="C45" s="29" t="n">
        <v>59.7</v>
      </c>
      <c r="D45" s="29" t="n">
        <v>63.2</v>
      </c>
      <c r="E45" s="29" t="n">
        <v>53.2</v>
      </c>
      <c r="F45" s="29" t="n">
        <v>56.1</v>
      </c>
      <c r="G45" s="29" t="n">
        <v>55.6</v>
      </c>
      <c r="H45" s="29" t="n">
        <v>42.3</v>
      </c>
      <c r="I45" s="29" t="n">
        <v>48.4</v>
      </c>
      <c r="J45" s="29" t="n">
        <v>21.4</v>
      </c>
      <c r="K45" s="29" t="n">
        <v>32</v>
      </c>
      <c r="L45" s="29" t="n">
        <v>43</v>
      </c>
      <c r="M45" s="29" t="n">
        <v>45</v>
      </c>
      <c r="N45" s="29" t="n">
        <v>41</v>
      </c>
    </row>
    <row r="46">
      <c r="A46" s="3" t="inlineStr">
        <is>
          <t>Reading: Bourbon Central</t>
        </is>
      </c>
      <c r="B46" s="29" t="n">
        <v>62.1</v>
      </c>
      <c r="C46" s="29" t="n">
        <v>56.6</v>
      </c>
      <c r="D46" s="29" t="n">
        <v>61.2</v>
      </c>
      <c r="E46" s="29" t="n">
        <v>55.7</v>
      </c>
      <c r="F46" s="29" t="n">
        <v>47.9</v>
      </c>
      <c r="G46" s="29" t="n">
        <v>47.9</v>
      </c>
      <c r="H46" s="29" t="n">
        <v>49.3</v>
      </c>
      <c r="I46" s="29" t="n">
        <v>49.1</v>
      </c>
      <c r="J46" s="29" t="n">
        <v>27.1</v>
      </c>
      <c r="K46" s="29" t="n">
        <v>43</v>
      </c>
      <c r="L46" s="29" t="n">
        <v>37</v>
      </c>
      <c r="M46" s="29" t="n">
        <v>36</v>
      </c>
      <c r="N46" s="29" t="n">
        <v>38</v>
      </c>
    </row>
    <row r="47">
      <c r="A47" s="3" t="inlineStr">
        <is>
          <t>Reading: Cane Ridge</t>
        </is>
      </c>
      <c r="B47" s="29" t="n">
        <v>42.9</v>
      </c>
      <c r="C47" s="29" t="n">
        <v>47.2</v>
      </c>
      <c r="D47" s="29" t="n">
        <v>54.5</v>
      </c>
      <c r="E47" s="29" t="n">
        <v>55.3</v>
      </c>
      <c r="F47" s="29" t="n">
        <v>59.3</v>
      </c>
      <c r="G47" s="29" t="n">
        <v>57.1</v>
      </c>
      <c r="H47" s="29" t="n">
        <v>52</v>
      </c>
      <c r="I47" s="29" t="n">
        <v>49.6</v>
      </c>
      <c r="J47" s="29" t="n">
        <v>26.5</v>
      </c>
      <c r="K47" s="29" t="n">
        <v>44</v>
      </c>
      <c r="L47" s="29" t="n">
        <v>40</v>
      </c>
      <c r="M47" s="29" t="n">
        <v>40</v>
      </c>
      <c r="N47" s="29" t="n">
        <v>37</v>
      </c>
    </row>
    <row r="48">
      <c r="A48" s="3" t="inlineStr">
        <is>
          <t>Reading: Paris Elementary</t>
        </is>
      </c>
      <c r="B48" s="29" t="n">
        <v>31</v>
      </c>
      <c r="C48" s="29" t="n">
        <v>34.1</v>
      </c>
      <c r="D48" s="29" t="n">
        <v>42.9</v>
      </c>
      <c r="E48" s="29" t="n">
        <v>38.9</v>
      </c>
      <c r="F48" s="29" t="n">
        <v>41.2</v>
      </c>
      <c r="G48" s="29" t="n">
        <v>34.3</v>
      </c>
      <c r="H48" s="29" t="n">
        <v>34.4</v>
      </c>
      <c r="I48" s="29" t="n">
        <v>35.3</v>
      </c>
      <c r="J48" s="29" t="n">
        <v>25</v>
      </c>
      <c r="K48" s="29" t="n">
        <v>28</v>
      </c>
      <c r="L48" s="29" t="n">
        <v>25</v>
      </c>
      <c r="M48" s="29" t="n">
        <v>30</v>
      </c>
      <c r="N48" s="29" t="n">
        <v>25</v>
      </c>
    </row>
    <row r="49">
      <c r="A49" s="3" t="inlineStr">
        <is>
          <t>Mathematics: North Middletown</t>
        </is>
      </c>
      <c r="B49" s="29" t="n">
        <v>53.2</v>
      </c>
      <c r="C49" s="29" t="n">
        <v>49.4</v>
      </c>
      <c r="D49" s="29" t="n">
        <v>55.3</v>
      </c>
      <c r="E49" s="29" t="n">
        <v>59.5</v>
      </c>
      <c r="F49" s="29" t="n">
        <v>62.1</v>
      </c>
      <c r="G49" s="29" t="n">
        <v>50.8</v>
      </c>
      <c r="H49" s="29" t="n">
        <v>47.9</v>
      </c>
      <c r="I49" s="29" t="n">
        <v>48.4</v>
      </c>
      <c r="J49" s="29" t="n">
        <v>17.9</v>
      </c>
      <c r="K49" s="29" t="n">
        <v>31</v>
      </c>
      <c r="L49" s="29" t="n">
        <v>30</v>
      </c>
      <c r="M49" s="29" t="n">
        <v>45</v>
      </c>
      <c r="N49" s="29" t="n">
        <v>31</v>
      </c>
    </row>
    <row r="50">
      <c r="A50" s="3" t="inlineStr">
        <is>
          <t>Mathematics: Bourbon Central</t>
        </is>
      </c>
      <c r="B50" s="29" t="n">
        <v>47.1</v>
      </c>
      <c r="C50" s="29" t="n">
        <v>47.4</v>
      </c>
      <c r="D50" s="29" t="n">
        <v>43</v>
      </c>
      <c r="E50" s="29" t="n">
        <v>43.6</v>
      </c>
      <c r="F50" s="29" t="n">
        <v>40</v>
      </c>
      <c r="G50" s="29" t="n">
        <v>43.5</v>
      </c>
      <c r="H50" s="29" t="n">
        <v>41.8</v>
      </c>
      <c r="I50" s="29" t="n">
        <v>45.1</v>
      </c>
      <c r="J50" s="29" t="n">
        <v>31.7</v>
      </c>
      <c r="K50" s="29" t="n">
        <v>27</v>
      </c>
      <c r="L50" s="29" t="n">
        <v>28</v>
      </c>
      <c r="M50" s="29" t="n">
        <v>23</v>
      </c>
      <c r="N50" s="29" t="n">
        <v>28</v>
      </c>
    </row>
    <row r="51">
      <c r="A51" s="3" t="inlineStr">
        <is>
          <t>Mathematics: Cane Ridge</t>
        </is>
      </c>
      <c r="B51" s="29" t="n">
        <v>33.3</v>
      </c>
      <c r="C51" s="29" t="n">
        <v>37.7</v>
      </c>
      <c r="D51" s="29" t="n">
        <v>43.1</v>
      </c>
      <c r="E51" s="29" t="n">
        <v>46.1</v>
      </c>
      <c r="F51" s="29" t="n">
        <v>54.4</v>
      </c>
      <c r="G51" s="29" t="n">
        <v>45.9</v>
      </c>
      <c r="H51" s="29" t="n">
        <v>41.5</v>
      </c>
      <c r="I51" s="29" t="n">
        <v>39</v>
      </c>
      <c r="J51" s="29" t="n">
        <v>25.2</v>
      </c>
      <c r="K51" s="29" t="n">
        <v>33</v>
      </c>
      <c r="L51" s="29" t="n">
        <v>35</v>
      </c>
      <c r="M51" s="29" t="n">
        <v>30</v>
      </c>
      <c r="N51" s="29" t="n">
        <v>27</v>
      </c>
    </row>
    <row r="52">
      <c r="A52" s="3" t="inlineStr">
        <is>
          <t>Mathematics: Paris Elementary</t>
        </is>
      </c>
      <c r="B52" s="29" t="n">
        <v>29.7</v>
      </c>
      <c r="C52" s="29" t="n">
        <v>25</v>
      </c>
      <c r="D52" s="29" t="n">
        <v>26.8</v>
      </c>
      <c r="E52" s="29" t="n">
        <v>22.9</v>
      </c>
      <c r="F52" s="29" t="n">
        <v>41.9</v>
      </c>
      <c r="G52" s="29" t="n">
        <v>28.7</v>
      </c>
      <c r="H52" s="29" t="n">
        <v>30</v>
      </c>
      <c r="I52" s="29" t="n">
        <v>32</v>
      </c>
      <c r="J52" s="29" t="n">
        <v>15.3</v>
      </c>
      <c r="K52" s="29" t="n">
        <v>23</v>
      </c>
      <c r="L52" s="29" t="n">
        <v>32</v>
      </c>
      <c r="M52" s="29" t="n">
        <v>27</v>
      </c>
      <c r="N52" s="29" t="n">
        <v>29</v>
      </c>
    </row>
    <row r="53">
      <c r="A53" s="21" t="inlineStr">
        <is>
          <t>NMES led the county in mathematics in every pre-COVID administration on record, 2011-12 through 2018-19: eight straight years.</t>
        </is>
      </c>
    </row>
    <row r="55">
      <c r="A55" s="22" t="inlineStr">
        <is>
          <t>Official overall score</t>
        </is>
      </c>
      <c r="B55" s="22" t="inlineStr">
        <is>
          <t>'11-12</t>
        </is>
      </c>
      <c r="C55" s="22" t="inlineStr">
        <is>
          <t>'12-13</t>
        </is>
      </c>
      <c r="D55" s="22" t="inlineStr">
        <is>
          <t>'13-14</t>
        </is>
      </c>
      <c r="E55" s="22" t="inlineStr">
        <is>
          <t>'14-15</t>
        </is>
      </c>
      <c r="F55" s="22" t="inlineStr">
        <is>
          <t>'15-16</t>
        </is>
      </c>
      <c r="G55" s="22" t="inlineStr">
        <is>
          <t>'16-17</t>
        </is>
      </c>
      <c r="H55" s="22" t="inlineStr">
        <is>
          <t>'17-18</t>
        </is>
      </c>
      <c r="I55" s="22" t="inlineStr">
        <is>
          <t>'18-19</t>
        </is>
      </c>
      <c r="J55" s="22" t="inlineStr">
        <is>
          <t>'20-21</t>
        </is>
      </c>
      <c r="K55" s="22" t="inlineStr">
        <is>
          <t>'21-22</t>
        </is>
      </c>
      <c r="L55" s="22" t="inlineStr">
        <is>
          <t>'22-23</t>
        </is>
      </c>
      <c r="M55" s="22" t="inlineStr">
        <is>
          <t>'23-24</t>
        </is>
      </c>
      <c r="N55" s="22"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29" t="n">
        <v>62.6</v>
      </c>
      <c r="C56" s="29" t="n">
        <v>68.8</v>
      </c>
      <c r="D56" s="29" t="n">
        <v>71.40000000000001</v>
      </c>
      <c r="E56" s="29" t="n">
        <v>72.09999999999999</v>
      </c>
      <c r="F56" s="29" t="n">
        <v>79.09999999999999</v>
      </c>
      <c r="K56" s="29" t="n">
        <v>51.9</v>
      </c>
      <c r="L56" s="29" t="n">
        <v>62.2</v>
      </c>
      <c r="M56" s="29" t="n">
        <v>74.5</v>
      </c>
      <c r="N56" s="29" t="n">
        <v>54</v>
      </c>
    </row>
    <row r="57">
      <c r="A57" s="3" t="inlineStr">
        <is>
          <t>Bourbon Central</t>
        </is>
      </c>
      <c r="B57" s="29" t="n">
        <v>63.2</v>
      </c>
      <c r="C57" s="29" t="n">
        <v>63</v>
      </c>
      <c r="D57" s="29" t="n">
        <v>69.8</v>
      </c>
      <c r="E57" s="29" t="n">
        <v>67.8</v>
      </c>
      <c r="F57" s="29" t="n">
        <v>56.8</v>
      </c>
      <c r="K57" s="29" t="n">
        <v>52.8</v>
      </c>
      <c r="L57" s="29" t="n">
        <v>56.7</v>
      </c>
      <c r="M57" s="29" t="n">
        <v>50.3</v>
      </c>
      <c r="N57" s="29" t="n">
        <v>55.4</v>
      </c>
    </row>
    <row r="58">
      <c r="A58" s="3" t="inlineStr">
        <is>
          <t>Cane Ridge</t>
        </is>
      </c>
      <c r="B58" s="29" t="n">
        <v>53.3</v>
      </c>
      <c r="C58" s="29" t="n">
        <v>58.9</v>
      </c>
      <c r="D58" s="29" t="n">
        <v>69.2</v>
      </c>
      <c r="E58" s="29" t="n">
        <v>68.5</v>
      </c>
      <c r="F58" s="29" t="n">
        <v>65.5</v>
      </c>
      <c r="K58" s="29" t="n">
        <v>54.3</v>
      </c>
      <c r="L58" s="29" t="n">
        <v>51.8</v>
      </c>
      <c r="M58" s="29" t="n">
        <v>60.7</v>
      </c>
      <c r="N58" s="29" t="n">
        <v>47.8</v>
      </c>
    </row>
    <row r="59">
      <c r="A59" s="3" t="inlineStr">
        <is>
          <t>Paris Elementary</t>
        </is>
      </c>
      <c r="B59" s="29" t="n">
        <v>48</v>
      </c>
      <c r="C59" s="29" t="n">
        <v>49.9</v>
      </c>
      <c r="D59" s="29" t="n">
        <v>59.4</v>
      </c>
      <c r="E59" s="29" t="n">
        <v>54.8</v>
      </c>
      <c r="F59" s="29" t="n">
        <v>69.59999999999999</v>
      </c>
      <c r="K59" s="29" t="n">
        <v>46.1</v>
      </c>
      <c r="L59" s="29" t="n">
        <v>45.9</v>
      </c>
      <c r="M59" s="29" t="n">
        <v>40.7</v>
      </c>
      <c r="N59" s="29" t="n">
        <v>41.9</v>
      </c>
    </row>
    <row r="60">
      <c r="A60" s="21" t="inlineStr">
        <is>
          <t>Classifications: NMES rated Proficient 2012-2015 and Distinguished in 2015-16 at 79.1, the county's only Distinguished elementary rating in the files retrieved. In 2023-24 NMES posted 74.5, first in the county by 14 points.</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4"/>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next plan due June 2025). Both archived in this repository under build/. Figures read enrollment/capacity; the 2021 preschool line (272/200, with the plan's note of 80 full-day plus 192 half-day students) confirms the order.</t>
        </is>
      </c>
    </row>
    <row r="4">
      <c r="A4" s="17" t="inlineStr">
        <is>
          <t>School</t>
        </is>
      </c>
      <c r="B4" s="17" t="inlineStr">
        <is>
          <t>2013 enr</t>
        </is>
      </c>
      <c r="C4" s="17" t="inlineStr">
        <is>
          <t>2013 cap</t>
        </is>
      </c>
      <c r="D4" s="17" t="inlineStr">
        <is>
          <t>2021 enr</t>
        </is>
      </c>
      <c r="E4" s="17" t="inlineStr">
        <is>
          <t>2021 cap</t>
        </is>
      </c>
      <c r="F4" s="17"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Approved rating 521; the plan's 549 is a contingent To-Become figure tied to an expansion never built (GSF unchanged at 63,320 through the July 2026 KDE report)</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the approved 521</t>
        </is>
      </c>
      <c r="B13" s="11">
        <f>521-Redistricting!B8</f>
        <v/>
      </c>
    </row>
    <row r="14">
      <c r="A14" s="3" t="inlineStr">
        <is>
          <t>Cane Ridge students over rated 422</t>
        </is>
      </c>
      <c r="B14" s="11">
        <f>Redistricting!B9-E8</f>
        <v/>
      </c>
    </row>
    <row r="15">
      <c r="A15" s="3" t="inlineStr">
        <is>
          <t>Net uncommitted seats at both receiving schools</t>
        </is>
      </c>
      <c r="B15" s="26">
        <f>B13-B14</f>
        <v/>
      </c>
    </row>
    <row r="16">
      <c r="A16" s="3" t="inlineStr">
        <is>
          <t>NMES students needing seats on closure</t>
        </is>
      </c>
      <c r="B16" s="25">
        <f>Assumptions!B11</f>
        <v/>
      </c>
    </row>
    <row r="17">
      <c r="A17" s="3" t="inlineStr">
        <is>
          <t>Shortfall if closure proceeds today</t>
        </is>
      </c>
      <c r="B17" s="26">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approved ratings are 521 (Bourbon Central; the plan's 549 is contingent on an expansion never built) and 422 (Cane Ridge). At current enrollment that is 62 open at Bourbon Central and 31 over at Cane Ridge, a net 31 uncommitted seats for 128 children (59 only under the plan's contingent 549).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17" t="inlineStr">
        <is>
          <t>School</t>
        </is>
      </c>
      <c r="B29" s="17" t="inlineStr">
        <is>
          <t>2023-24 SAAR</t>
        </is>
      </c>
      <c r="C29" s="17" t="inlineStr">
        <is>
          <t>Draft capacity (KFICS)</t>
        </is>
      </c>
      <c r="D29" s="17" t="inlineStr">
        <is>
          <t>Change vs 2021 rating</t>
        </is>
      </c>
    </row>
    <row r="30">
      <c r="A30" s="3" t="inlineStr">
        <is>
          <t>Bourbon Central</t>
        </is>
      </c>
      <c r="B30" s="10" t="n">
        <v>491</v>
      </c>
      <c r="C30" s="10" t="n">
        <v>640</v>
      </c>
      <c r="D30" s="11">
        <f>C30-521</f>
        <v/>
      </c>
    </row>
    <row r="31">
      <c r="A31" s="3" t="inlineStr">
        <is>
          <t>Cane Ridge</t>
        </is>
      </c>
      <c r="B31" s="10" t="n">
        <v>461</v>
      </c>
      <c r="C31" s="10" t="n">
        <v>547</v>
      </c>
      <c r="D31" s="11">
        <f>C31-E8</f>
        <v/>
      </c>
    </row>
    <row r="32">
      <c r="A32" s="3" t="inlineStr">
        <is>
          <t>North Middletown</t>
        </is>
      </c>
      <c r="B32" s="25" t="n">
        <v>128</v>
      </c>
      <c r="C32" s="10" t="n">
        <v>154</v>
      </c>
      <c r="D32" s="11">
        <f>C32-E9</f>
        <v/>
      </c>
    </row>
    <row r="33">
      <c r="A33" s="3" t="inlineStr">
        <is>
          <t>Paper seats added at the receiving schools, with the draft's new-construction sections reading None</t>
        </is>
      </c>
      <c r="B33" s="26">
        <f>D30+D31</f>
        <v/>
      </c>
    </row>
    <row r="34">
      <c r="A34" s="3" t="inlineStr">
        <is>
          <t>NMES fill rate even at the draft's own 154 rating</t>
        </is>
      </c>
      <c r="B34" s="37">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17" t="inlineStr">
        <is>
          <t>Facility</t>
        </is>
      </c>
      <c r="B38" s="17" t="inlineStr">
        <is>
          <t>Condition need</t>
        </is>
      </c>
      <c r="C38" s="17" t="inlineStr">
        <is>
          <t>Instructional deficiency</t>
        </is>
      </c>
      <c r="D38" s="17" t="inlineStr">
        <is>
          <t>Total (as printed)</t>
        </is>
      </c>
      <c r="E38" s="17"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23">
        <f>SUM(D39:D45)</f>
        <v/>
      </c>
    </row>
    <row r="47">
      <c r="A47" s="3" t="inlineStr">
        <is>
          <t>Support facilities total (slide)</t>
        </is>
      </c>
      <c r="B47" s="8" t="n">
        <v>7089052</v>
      </c>
    </row>
    <row r="48">
      <c r="A48" s="3" t="inlineStr">
        <is>
          <t>District total need</t>
        </is>
      </c>
      <c r="B48" s="23">
        <f>B46+B47</f>
        <v/>
      </c>
    </row>
    <row r="49">
      <c r="A49" s="3" t="inlineStr">
        <is>
          <t>Receiving schools combined (Bourbon Central + Cane Ridge)</t>
        </is>
      </c>
      <c r="B49" s="23">
        <f>D41+D42</f>
        <v/>
      </c>
    </row>
    <row r="50">
      <c r="A50" s="3" t="inlineStr">
        <is>
          <t>Net receiving seats at the slides' own capacities (499 and 397)</t>
        </is>
      </c>
      <c r="B50" s="26">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(the approved 521, 422; the plan's contingent 549 depends on unbuilt work): three documents, three capacity sets for the same buildings. NMES total need is second lowest among the district's schools.</t>
        </is>
      </c>
    </row>
    <row r="55">
      <c r="A55" s="4" t="inlineStr">
        <is>
          <t>2017 PLAN, RECOVERED (KBE approved June 7, 2017; Wayback capture July 1, 2017, archived as build/dfp_wayback_20170701225631.pdf; KBE minutes corroborate)</t>
        </is>
      </c>
    </row>
    <row r="56">
      <c r="A56" s="17" t="inlineStr">
        <is>
          <t>School</t>
        </is>
      </c>
      <c r="B56" s="17" t="inlineStr">
        <is>
          <t>2017 enr</t>
        </is>
      </c>
      <c r="C56" s="17" t="inlineStr">
        <is>
          <t>2017 cap</t>
        </is>
      </c>
    </row>
    <row r="57">
      <c r="A57" s="3" t="inlineStr">
        <is>
          <t>Bourbon County High School</t>
        </is>
      </c>
      <c r="B57" s="10" t="n">
        <v>914</v>
      </c>
      <c r="C57" s="10" t="n">
        <v>671</v>
      </c>
    </row>
    <row r="58">
      <c r="A58" s="3" t="inlineStr">
        <is>
          <t>Bourbon County Middle School</t>
        </is>
      </c>
      <c r="B58" s="10" t="n">
        <v>607</v>
      </c>
      <c r="C58" s="10" t="n">
        <v>564</v>
      </c>
    </row>
    <row r="59">
      <c r="A59" s="3" t="inlineStr">
        <is>
          <t>Bourbon Central Elementary</t>
        </is>
      </c>
      <c r="B59" s="10" t="n">
        <v>633</v>
      </c>
      <c r="C59" s="10" t="n">
        <v>611</v>
      </c>
    </row>
    <row r="60">
      <c r="A60" s="3" t="inlineStr">
        <is>
          <t>Cane Ridge Elementary</t>
        </is>
      </c>
      <c r="B60" s="10" t="n">
        <v>482</v>
      </c>
      <c r="C60" s="10" t="n">
        <v>550</v>
      </c>
    </row>
    <row r="61">
      <c r="A61" s="3" t="inlineStr">
        <is>
          <t>North Middletown Elementary</t>
        </is>
      </c>
      <c r="B61" s="10" t="n">
        <v>154</v>
      </c>
      <c r="C61" s="10" t="n">
        <v>152</v>
      </c>
    </row>
    <row r="62">
      <c r="A62" s="3" t="inlineStr">
        <is>
          <t>Preschool/Head Start Center</t>
        </is>
      </c>
      <c r="B62" s="10" t="n">
        <v>125</v>
      </c>
      <c r="C62" s="10" t="n">
        <v>200</v>
      </c>
    </row>
    <row r="63">
      <c r="A63" s="21" t="inlineStr">
        <is>
          <t>NMES listed at 154 enrolled against 152 capacity: OVER capacity in the district's own 2017 plan. Same-building rating trajectory across plans: NMES 198-152-174-154; Bourbon Central 564-611-521-640; Cane Ridge 500-550-422-547.</t>
        </is>
      </c>
    </row>
    <row r="65">
      <c r="A65" s="4" t="inlineStr">
        <is>
          <t>KFICS CONDITION INDEX, EVERY STATE REPORT PUBLISHED (KDE KFICS State Reports: official Oct 2023, official Oct 2025, updated report generated July 2, 2026)</t>
        </is>
      </c>
    </row>
    <row r="66">
      <c r="A66" s="17" t="inlineStr">
        <is>
          <t>School</t>
        </is>
      </c>
      <c r="B66" s="17" t="inlineStr">
        <is>
          <t>Oct 2023 report</t>
        </is>
      </c>
      <c r="C66" s="17" t="inlineStr">
        <is>
          <t>Oct 2025 report</t>
        </is>
      </c>
      <c r="D66" s="17" t="inlineStr">
        <is>
          <t>Jul 2026 report</t>
        </is>
      </c>
      <c r="E66" s="17" t="inlineStr">
        <is>
          <t>4-yr needs (Jul 2026)</t>
        </is>
      </c>
      <c r="F66" s="17" t="inlineStr">
        <is>
          <t>Replacement value (Jul 2026)</t>
        </is>
      </c>
    </row>
    <row r="67">
      <c r="A67" s="3" t="inlineStr">
        <is>
          <t>Bourbon Central Elementary (1988)</t>
        </is>
      </c>
      <c r="B67" s="38" t="n">
        <v>0.887637</v>
      </c>
      <c r="C67" s="38" t="n">
        <v>0.819273</v>
      </c>
      <c r="D67" s="38" t="n">
        <v>0.823017</v>
      </c>
      <c r="E67" s="8" t="n">
        <v>4006243.38</v>
      </c>
      <c r="F67" s="8" t="n">
        <v>22636266.8</v>
      </c>
    </row>
    <row r="68">
      <c r="A68" s="3" t="inlineStr">
        <is>
          <t>Cane Ridge Elementary (1992)</t>
        </is>
      </c>
      <c r="B68" s="38" t="n">
        <v>0.8120579999999999</v>
      </c>
      <c r="C68" s="38" t="n">
        <v>0.811765</v>
      </c>
      <c r="D68" s="38" t="n">
        <v>0.728249</v>
      </c>
      <c r="E68" s="8" t="n">
        <v>4796308</v>
      </c>
      <c r="F68" s="8" t="n">
        <v>17649638.79</v>
      </c>
    </row>
    <row r="69">
      <c r="A69" s="3" t="inlineStr">
        <is>
          <t>North Middletown Elementary (1948/64)</t>
        </is>
      </c>
      <c r="B69" s="38" t="n">
        <v>0.694064</v>
      </c>
      <c r="C69" s="38" t="n">
        <v>0.702133</v>
      </c>
      <c r="D69" s="38" t="n">
        <v>0.773295</v>
      </c>
      <c r="E69" s="8" t="n">
        <v>3099147.93</v>
      </c>
      <c r="F69" s="8" t="n">
        <v>13670417.6</v>
      </c>
    </row>
    <row r="70">
      <c r="A70" s="3" t="inlineStr">
        <is>
          <t>Bourbon County Middle School (1948)</t>
        </is>
      </c>
      <c r="B70" s="38" t="n">
        <v>0.726249</v>
      </c>
      <c r="C70" s="38" t="n">
        <v>0.727501</v>
      </c>
      <c r="D70" s="38" t="n">
        <v>0.596145</v>
      </c>
      <c r="E70" s="8" t="n">
        <v>12167086.72</v>
      </c>
      <c r="F70" s="8" t="n">
        <v>30127350</v>
      </c>
    </row>
    <row r="71">
      <c r="A71" s="3" t="inlineStr">
        <is>
          <t>Bourbon County High School (1968)</t>
        </is>
      </c>
      <c r="B71" s="38" t="n">
        <v>0.809819</v>
      </c>
      <c r="C71" s="38" t="n">
        <v>0.802057</v>
      </c>
      <c r="D71" s="38" t="n">
        <v>0.792529</v>
      </c>
      <c r="E71" s="8" t="n">
        <v>10251532.33</v>
      </c>
      <c r="F71" s="8" t="n">
        <v>49411909.14</v>
      </c>
    </row>
    <row r="72">
      <c r="A72" s="3" t="inlineStr">
        <is>
          <t>Check: Condition Index = 1 - (4-year renewal needs / replacement value), NMES</t>
        </is>
      </c>
      <c r="B72" s="39">
        <f>1-E69/F69</f>
        <v/>
      </c>
    </row>
    <row r="73">
      <c r="A73" s="3" t="inlineStr">
        <is>
          <t>NMES change between inspection cycles (2020-21 to April 2026)</t>
        </is>
      </c>
      <c r="B73" s="39">
        <f>D69-B69</f>
        <v/>
      </c>
    </row>
    <row r="74">
      <c r="A74" s="21" t="inlineStr">
        <is>
          <t>Notes: the Oct 2023 and Oct 2025 official reports rest on the same 2020-21 inspections (NMES and Cane Ridge Jan 5, 2021; Bourbon Central Apr 14, 2020) with costs updated between reports; the Jul 2026 report carries the first fresh inspections, completed April 2026 and reviewed by KDE. NMES is the only school whose index improved between inspection cycles, and its $3.1M four-year repair bill is the smallest of the district's five schools. NMES Educational Suitability prints 0.21725 in both the 2023 and Jul 2026 reports, identical to five decimal places, so that component appears carried forward rather than re-surveyed. Higher index = healthier building.</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53"/>
  <sheetViews>
    <sheetView showGridLines="1" workbookViewId="0">
      <selection activeCell="A1" sqref="A1"/>
    </sheetView>
  </sheetViews>
  <sheetFormatPr baseColWidth="8" defaultRowHeight="15"/>
  <cols>
    <col width="46" customWidth="1" min="1" max="1"/>
    <col width="10" customWidth="1" min="2" max="2"/>
    <col width="12" customWidth="1" min="3" max="3"/>
    <col width="14" customWidth="1" min="4" max="4"/>
    <col width="14" customWidth="1" min="5" max="5"/>
    <col width="10" customWidth="1" min="6" max="6"/>
    <col width="14" customWidth="1" min="7" max="7"/>
    <col width="14" customWidth="1" min="8" max="8"/>
    <col width="12" customWidth="1" min="9" max="9"/>
    <col width="60" customWidth="1" min="10" max="10"/>
  </cols>
  <sheetData>
    <row r="1">
      <c r="A1" s="1" t="inlineStr">
        <is>
          <t>Thirty Years of Kentucky Rural School Closures: The Record</t>
        </is>
      </c>
    </row>
    <row r="2">
      <c r="A2" s="21" t="inlineStr">
        <is>
          <t>Universe: federal Common Core of Data, every KY public school, every year, 1994-2023 (via the Urban Institute Education Data API). Screens: rural/small-town locale; enrollment above zero; renames, rebuilds under new IDs, and non-community programs removed; corrupt federal finance rows (12) excluded by an enrollment-plausibility screen. Full lists archived as build/ky_rural_closures_1995_2023.csv and build/ky_closure_dollar_cases.csv.</t>
        </is>
      </c>
    </row>
    <row r="4">
      <c r="A4" s="4" t="inlineStr">
        <is>
          <t>THE UNIVERSE</t>
        </is>
      </c>
    </row>
    <row r="5">
      <c r="A5" s="3" t="inlineStr">
        <is>
          <t>Rural/small-town school closures since 1995</t>
        </is>
      </c>
      <c r="B5" s="10" t="n">
        <v>339</v>
      </c>
    </row>
    <row r="6">
      <c r="A6" s="3" t="inlineStr">
        <is>
          <t>Towns that lost their last public school (any district; successor-school check applied)</t>
        </is>
      </c>
      <c r="B6" s="10" t="n">
        <v>72</v>
      </c>
    </row>
    <row r="7">
      <c r="A7" s="3" t="inlineStr">
        <is>
          <t>Closure events with clean district finance data</t>
        </is>
      </c>
      <c r="B7" s="10" t="n">
        <v>163</v>
      </c>
    </row>
    <row r="8">
      <c r="A8" s="3" t="inlineStr">
        <is>
          <t>Median district per-pupil spending growth vs state, year before to 3 years after (pct pts)</t>
        </is>
      </c>
      <c r="B8" s="12" t="n">
        <v>-0.05</v>
      </c>
    </row>
    <row r="9">
      <c r="A9" s="3" t="inlineStr">
        <is>
          <t>Same, vs districts of similar size (within 40 percent of enrollment)</t>
        </is>
      </c>
      <c r="B9" s="12" t="n">
        <v>-0.24</v>
      </c>
    </row>
    <row r="10">
      <c r="A10" s="3" t="inlineStr">
        <is>
          <t>Districts growing slower than benchmark after closing</t>
        </is>
      </c>
      <c r="B10" s="19">
        <f>84/163</f>
        <v/>
      </c>
    </row>
    <row r="11">
      <c r="A11" s="3" t="inlineStr">
        <is>
          <t>Closures most like this plan (single small elementary, nothing built): count / median saving</t>
        </is>
      </c>
      <c r="B11" s="10" t="n">
        <v>37</v>
      </c>
      <c r="C11" s="10" t="n">
        <v>0</v>
      </c>
    </row>
    <row r="13">
      <c r="A13" s="4" t="inlineStr">
        <is>
          <t>THE DOLLAR TEST: BUDGET GAP VS STATE TREND, CREDITED ENTIRELY TO THE CLOSURE (A GENEROUS CEILING), PER DISPLACED STUDENT</t>
        </is>
      </c>
    </row>
    <row r="14">
      <c r="A14" s="17" t="inlineStr">
        <is>
          <t>Case</t>
        </is>
      </c>
      <c r="B14" s="17" t="inlineStr">
        <is>
          <t>Closed</t>
        </is>
      </c>
      <c r="C14" s="17" t="inlineStr">
        <is>
          <t>Students displaced</t>
        </is>
      </c>
      <c r="D14" s="17" t="inlineStr">
        <is>
          <t>Spending, year before</t>
        </is>
      </c>
      <c r="E14" s="17" t="inlineStr">
        <is>
          <t>Spending, 3 yrs after</t>
        </is>
      </c>
      <c r="F14" s="17" t="inlineStr">
        <is>
          <t>State growth</t>
        </is>
      </c>
      <c r="G14" s="17" t="inlineStr">
        <is>
          <t>Counterfactual</t>
        </is>
      </c>
      <c r="H14" s="17" t="inlineStr">
        <is>
          <t>Gap per year</t>
        </is>
      </c>
      <c r="I14" s="17" t="inlineStr">
        <is>
          <t>Gap per student</t>
        </is>
      </c>
      <c r="J14" s="17" t="inlineStr">
        <is>
          <t>Note</t>
        </is>
      </c>
    </row>
    <row r="15">
      <c r="A15" s="3" t="inlineStr">
        <is>
          <t>Perry County</t>
        </is>
      </c>
      <c r="B15" s="10" t="n">
        <v>2017</v>
      </c>
      <c r="C15" s="10" t="n">
        <v>825</v>
      </c>
      <c r="D15" s="8" t="n">
        <v>42356000</v>
      </c>
      <c r="E15" s="8" t="n">
        <v>44953000</v>
      </c>
      <c r="F15" s="13" t="n">
        <v>0.1323</v>
      </c>
      <c r="G15" s="9">
        <f>D15*(1+F15)</f>
        <v/>
      </c>
      <c r="H15" s="9">
        <f>G15-E15</f>
        <v/>
      </c>
      <c r="I15" s="23">
        <f>H15/C15</f>
        <v/>
      </c>
      <c r="J15" s="21" t="inlineStr">
        <is>
          <t>NEW West Perry Elementary built for the children moved; scores continued a pre-existing climb</t>
        </is>
      </c>
    </row>
    <row r="16">
      <c r="A16" s="3" t="inlineStr">
        <is>
          <t>Johnson County</t>
        </is>
      </c>
      <c r="B16" s="10" t="n">
        <v>2016</v>
      </c>
      <c r="C16" s="10" t="n">
        <v>178</v>
      </c>
      <c r="D16" s="8" t="n">
        <v>37827000</v>
      </c>
      <c r="E16" s="8" t="n">
        <v>39175000</v>
      </c>
      <c r="F16" s="13" t="n">
        <v>0.1339</v>
      </c>
      <c r="G16" s="9">
        <f>D16*(1+F16)</f>
        <v/>
      </c>
      <c r="H16" s="9">
        <f>G16-E16</f>
        <v/>
      </c>
      <c r="I16" s="23">
        <f>H16/C16</f>
        <v/>
      </c>
      <c r="J16" s="21" t="inlineStr">
        <is>
          <t>Meade Memorial El, pure absorption; scores flat: savings without improvement</t>
        </is>
      </c>
    </row>
    <row r="17">
      <c r="A17" s="3" t="inlineStr">
        <is>
          <t>Pineville Independent</t>
        </is>
      </c>
      <c r="B17" s="10" t="n">
        <v>2014</v>
      </c>
      <c r="C17" s="10" t="n">
        <v>508</v>
      </c>
      <c r="D17" s="8" t="n">
        <v>5355000</v>
      </c>
      <c r="E17" s="8" t="n">
        <v>4662000</v>
      </c>
      <c r="F17" s="13" t="n">
        <v>0.0667</v>
      </c>
      <c r="G17" s="9">
        <f>D17*(1+F17)</f>
        <v/>
      </c>
      <c r="H17" s="9">
        <f>G17-E17</f>
        <v/>
      </c>
      <c r="I17" s="23">
        <f>H17/C17</f>
        <v/>
      </c>
      <c r="J17" s="21" t="inlineStr">
        <is>
          <t>Same-town rebuild into one new combined campus; no community lost a school</t>
        </is>
      </c>
    </row>
    <row r="18">
      <c r="A18" s="3" t="inlineStr">
        <is>
          <t>Leslie County</t>
        </is>
      </c>
      <c r="B18" s="10" t="n">
        <v>2013</v>
      </c>
      <c r="C18" s="10" t="n">
        <v>144</v>
      </c>
      <c r="D18" s="8" t="n">
        <v>19840000</v>
      </c>
      <c r="E18" s="8" t="n">
        <v>18031000</v>
      </c>
      <c r="F18" s="13" t="n">
        <v>0.0374</v>
      </c>
      <c r="G18" s="9">
        <f>D18*(1+F18)</f>
        <v/>
      </c>
      <c r="H18" s="9">
        <f>G18-E18</f>
        <v/>
      </c>
      <c r="I18" s="23">
        <f>H18/C18</f>
        <v/>
      </c>
      <c r="J18" s="21" t="inlineStr">
        <is>
          <t>Middle school folded into existing campus; the record's one savings-plus-gains case</t>
        </is>
      </c>
    </row>
    <row r="19">
      <c r="A19" s="3" t="inlineStr">
        <is>
          <t>Pike County</t>
        </is>
      </c>
      <c r="B19" s="10" t="n">
        <v>2014</v>
      </c>
      <c r="C19" s="10" t="n">
        <v>123</v>
      </c>
      <c r="D19" s="8" t="n">
        <v>88648000</v>
      </c>
      <c r="E19" s="8" t="n">
        <v>90441000</v>
      </c>
      <c r="F19" s="13" t="n">
        <v>0.0667</v>
      </c>
      <c r="G19" s="9">
        <f>D19*(1+F19)</f>
        <v/>
      </c>
      <c r="H19" s="9">
        <f>G19-E19</f>
        <v/>
      </c>
      <c r="I19" s="23">
        <f>H19/C19</f>
        <v/>
      </c>
      <c r="J19" s="21" t="inlineStr">
        <is>
          <t>Majestic Knox Creek El, 1.3 percent of a 9,400-student district; the +8 score case</t>
        </is>
      </c>
    </row>
    <row r="20">
      <c r="A20" s="3" t="inlineStr">
        <is>
          <t>Somerset Independent</t>
        </is>
      </c>
      <c r="B20" s="10" t="n">
        <v>1999</v>
      </c>
      <c r="C20" s="10" t="n">
        <v>264</v>
      </c>
      <c r="D20" s="8" t="n">
        <v>9161000</v>
      </c>
      <c r="E20" s="8" t="n">
        <v>9316000</v>
      </c>
      <c r="F20" s="13" t="n">
        <v>0.2045</v>
      </c>
      <c r="G20" s="9">
        <f>D20*(1+F20)</f>
        <v/>
      </c>
      <c r="H20" s="9">
        <f>G20-E20</f>
        <v/>
      </c>
      <c r="I20" s="23">
        <f>H20/C20</f>
        <v/>
      </c>
      <c r="J20" s="21" t="inlineStr">
        <is>
          <t>City-district grade realignment of a 4-5 center, not a rural town; grades split between existing city schools</t>
        </is>
      </c>
    </row>
    <row r="21">
      <c r="A21" s="3" t="inlineStr">
        <is>
          <t>Rowan County</t>
        </is>
      </c>
      <c r="B21" s="10" t="n">
        <v>2001</v>
      </c>
      <c r="C21" s="10" t="n">
        <v>144</v>
      </c>
      <c r="D21" s="8" t="n">
        <v>19483000</v>
      </c>
      <c r="E21" s="8" t="n">
        <v>21010000</v>
      </c>
      <c r="F21" s="13" t="n">
        <v>0.1931</v>
      </c>
      <c r="G21" s="9">
        <f>D21*(1+F21)</f>
        <v/>
      </c>
      <c r="H21" s="9">
        <f>G21-E21</f>
        <v/>
      </c>
      <c r="I21" s="23">
        <f>H21/C21</f>
        <v/>
      </c>
      <c r="J21" s="21" t="inlineStr">
        <is>
          <t>Farmers El; gap exceeds plausible closure savings</t>
        </is>
      </c>
    </row>
    <row r="22">
      <c r="A22" s="3" t="inlineStr">
        <is>
          <t>Webster County</t>
        </is>
      </c>
      <c r="B22" s="10" t="n">
        <v>2012</v>
      </c>
      <c r="C22" s="10" t="n">
        <v>172</v>
      </c>
      <c r="D22" s="8" t="n">
        <v>19693000</v>
      </c>
      <c r="E22" s="8" t="n">
        <v>19475000</v>
      </c>
      <c r="F22" s="13" t="n">
        <v>0.0197</v>
      </c>
      <c r="G22" s="9">
        <f>D22*(1+F22)</f>
        <v/>
      </c>
      <c r="H22" s="9">
        <f>G22-E22</f>
        <v/>
      </c>
      <c r="I22" s="23">
        <f>H22/C22</f>
        <v/>
      </c>
      <c r="J22" s="21" t="inlineStr">
        <is>
          <t>Slaughters El; town lost its school; scores -2 vs state</t>
        </is>
      </c>
    </row>
    <row r="23">
      <c r="A23" s="3" t="inlineStr">
        <is>
          <t>Butler County</t>
        </is>
      </c>
      <c r="B23" s="10" t="n">
        <v>2003</v>
      </c>
      <c r="C23" s="10" t="n">
        <v>94</v>
      </c>
      <c r="D23" s="8" t="n">
        <v>14995000</v>
      </c>
      <c r="E23" s="8" t="n">
        <v>16806000</v>
      </c>
      <c r="F23" s="13" t="n">
        <v>0.2352</v>
      </c>
      <c r="G23" s="9">
        <f>D23*(1+F23)</f>
        <v/>
      </c>
      <c r="H23" s="9">
        <f>G23-E23</f>
        <v/>
      </c>
      <c r="I23" s="23">
        <f>H23/C23</f>
        <v/>
      </c>
      <c r="J23" s="21" t="inlineStr">
        <is>
          <t>Third District El; gap exceeds plausible closure savings</t>
        </is>
      </c>
    </row>
    <row r="24">
      <c r="A24" s="3" t="inlineStr">
        <is>
          <t>Letcher County</t>
        </is>
      </c>
      <c r="B24" s="10" t="n">
        <v>2007</v>
      </c>
      <c r="C24" s="10" t="n">
        <v>67</v>
      </c>
      <c r="D24" s="8" t="n">
        <v>30621000</v>
      </c>
      <c r="E24" s="8" t="n">
        <v>31987000</v>
      </c>
      <c r="F24" s="13" t="n">
        <v>0.1523</v>
      </c>
      <c r="G24" s="9">
        <f>D24*(1+F24)</f>
        <v/>
      </c>
      <c r="H24" s="9">
        <f>G24-E24</f>
        <v/>
      </c>
      <c r="I24" s="23">
        <f>H24/C24</f>
        <v/>
      </c>
      <c r="J24" s="21" t="inlineStr">
        <is>
          <t>Kingdom Come Settlement El; gap of $49K per child is 4x what a school costs: budget-wide, not closure</t>
        </is>
      </c>
    </row>
    <row r="25">
      <c r="A25" s="3" t="inlineStr">
        <is>
          <t>Muhlenberg County</t>
        </is>
      </c>
      <c r="B25" s="10" t="n">
        <v>2013</v>
      </c>
      <c r="C25" s="10" t="n">
        <v>91</v>
      </c>
      <c r="D25" s="8" t="n">
        <v>52941000</v>
      </c>
      <c r="E25" s="8" t="n">
        <v>45883000</v>
      </c>
      <c r="F25" s="13" t="n">
        <v>0.0374</v>
      </c>
      <c r="G25" s="9">
        <f>D25*(1+F25)</f>
        <v/>
      </c>
      <c r="H25" s="9">
        <f>G25-E25</f>
        <v/>
      </c>
      <c r="I25" s="23">
        <f>H25/C25</f>
        <v/>
      </c>
      <c r="J25" s="21" t="inlineStr">
        <is>
          <t>Career HS; $99K per child gap = post-construction and coal-era budget swings, not closure</t>
        </is>
      </c>
    </row>
    <row r="26">
      <c r="A26" s="3" t="inlineStr">
        <is>
          <t>Wayne County</t>
        </is>
      </c>
      <c r="B26" s="10" t="n">
        <v>2007</v>
      </c>
      <c r="C26" s="10" t="n">
        <v>381</v>
      </c>
      <c r="D26" s="8" t="n">
        <v>22129000</v>
      </c>
      <c r="E26" s="8" t="n">
        <v>23687000</v>
      </c>
      <c r="F26" s="13" t="n">
        <v>0.1523</v>
      </c>
      <c r="G26" s="9">
        <f>D26*(1+F26)</f>
        <v/>
      </c>
      <c r="H26" s="9">
        <f>G26-E26</f>
        <v/>
      </c>
      <c r="I26" s="23">
        <f>H26/C26</f>
        <v/>
      </c>
      <c r="J26" s="21" t="inlineStr">
        <is>
          <t>A J Lloyd Middle</t>
        </is>
      </c>
    </row>
    <row r="27">
      <c r="A27" s="3" t="inlineStr">
        <is>
          <t>Lincoln County</t>
        </is>
      </c>
      <c r="B27" s="10" t="n">
        <v>2016</v>
      </c>
      <c r="C27" s="10" t="n">
        <v>286</v>
      </c>
      <c r="D27" s="8" t="n">
        <v>40397000</v>
      </c>
      <c r="E27" s="8" t="n">
        <v>41252000</v>
      </c>
      <c r="F27" s="13" t="n">
        <v>0.1339</v>
      </c>
      <c r="G27" s="9">
        <f>D27*(1+F27)</f>
        <v/>
      </c>
      <c r="H27" s="9">
        <f>G27-E27</f>
        <v/>
      </c>
      <c r="I27" s="23">
        <f>H27/C27</f>
        <v/>
      </c>
      <c r="J27" s="21" t="inlineStr">
        <is>
          <t>Sixth-grade center reorganization</t>
        </is>
      </c>
    </row>
    <row r="28">
      <c r="A28" s="3" t="inlineStr">
        <is>
          <t>Montgomery County</t>
        </is>
      </c>
      <c r="B28" s="10" t="n">
        <v>2018</v>
      </c>
      <c r="C28" s="10" t="n">
        <v>737</v>
      </c>
      <c r="D28" s="8" t="n">
        <v>45709000</v>
      </c>
      <c r="E28" s="8" t="n">
        <v>46413000</v>
      </c>
      <c r="F28" s="13" t="n">
        <v>0.1366</v>
      </c>
      <c r="G28" s="9">
        <f>D28*(1+F28)</f>
        <v/>
      </c>
      <c r="H28" s="9">
        <f>G28-E28</f>
        <v/>
      </c>
      <c r="I28" s="23">
        <f>H28/C28</f>
        <v/>
      </c>
      <c r="J28" s="21" t="inlineStr">
        <is>
          <t>County-seat grade reshuffle of a 5-6 intermediate center, not a rural town or an elementary; opened NEW Northview Elementary the same year</t>
        </is>
      </c>
    </row>
    <row r="29">
      <c r="A29" s="3" t="inlineStr">
        <is>
          <t>Metcalfe County</t>
        </is>
      </c>
      <c r="B29" s="10" t="n">
        <v>2013</v>
      </c>
      <c r="C29" s="10" t="n">
        <v>817</v>
      </c>
      <c r="D29" s="8" t="n">
        <v>17028000</v>
      </c>
      <c r="E29" s="8" t="n">
        <v>15990000</v>
      </c>
      <c r="F29" s="13" t="n">
        <v>0.0374</v>
      </c>
      <c r="G29" s="9">
        <f>D29*(1+F29)</f>
        <v/>
      </c>
      <c r="H29" s="9">
        <f>G29-E29</f>
        <v/>
      </c>
      <c r="I29" s="23">
        <f>H29/C29</f>
        <v/>
      </c>
      <c r="J29" s="21" t="inlineStr">
        <is>
          <t>Closed 3 schools, half the district displaced; built new Primary and Intermediate centers; scores fell 10.5 vs state: the cautionary pair</t>
        </is>
      </c>
    </row>
    <row r="30">
      <c r="A30" s="3" t="inlineStr">
        <is>
          <t>Adair County</t>
        </is>
      </c>
      <c r="B30" s="10" t="n">
        <v>2006</v>
      </c>
      <c r="C30" s="10" t="n">
        <v>479</v>
      </c>
      <c r="D30" s="8" t="n">
        <v>22126000</v>
      </c>
      <c r="E30" s="8" t="n">
        <v>23240000</v>
      </c>
      <c r="F30" s="13" t="n">
        <v>0.2005</v>
      </c>
      <c r="G30" s="9">
        <f>D30*(1+F30)</f>
        <v/>
      </c>
      <c r="H30" s="9">
        <f>G30-E30</f>
        <v/>
      </c>
      <c r="I30" s="23">
        <f>H30/C30</f>
        <v/>
      </c>
      <c r="J30" s="21" t="inlineStr">
        <is>
          <t>3 rural elementaries; built NEW Adair County Elementary the same year; pre-closure spending spike reverting; gap is 88 percent of everything the district then spent per student</t>
        </is>
      </c>
    </row>
    <row r="31">
      <c r="A31" s="3" t="inlineStr">
        <is>
          <t>Breckinridge County</t>
        </is>
      </c>
      <c r="B31" s="10" t="n">
        <v>1997</v>
      </c>
      <c r="C31" s="10" t="n">
        <v>299</v>
      </c>
      <c r="D31" s="8" t="n">
        <v>17048000</v>
      </c>
      <c r="E31" s="8" t="n">
        <v>16425000</v>
      </c>
      <c r="F31" s="13" t="n">
        <v>0.1319</v>
      </c>
      <c r="G31" s="9">
        <f>D31*(1+F31)</f>
        <v/>
      </c>
      <c r="H31" s="9">
        <f>G31-E31</f>
        <v/>
      </c>
      <c r="I31" s="23">
        <f>H31/C31</f>
        <v/>
      </c>
      <c r="J31" s="21" t="inlineStr">
        <is>
          <t>2 rural K-8 schools, nothing built; gap of $9,606 per child EXCEEDS the district's $6,108 total cost per student then: impossible as closure savings, a data-edge artifact</t>
        </is>
      </c>
    </row>
    <row r="33">
      <c r="A33" s="4" t="inlineStr">
        <is>
          <t>THE YARDSTICK: WHAT THIS PLAN REQUIRES PER DISPLACED STUDENT</t>
        </is>
      </c>
    </row>
    <row r="34">
      <c r="A34" s="3" t="inlineStr">
        <is>
          <t>Plan requirement, low / high ($800K-$1M over the 128 students displaced)</t>
        </is>
      </c>
      <c r="B34" s="23">
        <f>800000/Assumptions!B11</f>
        <v/>
      </c>
      <c r="C34" s="23">
        <f>1000000/Assumptions!B11</f>
        <v/>
      </c>
    </row>
    <row r="35">
      <c r="A35" s="3" t="inlineStr">
        <is>
          <t>This report's own model, per displaced student: median / central / best case</t>
        </is>
      </c>
      <c r="B35" s="9">
        <f>91240/Assumptions!B11</f>
        <v/>
      </c>
      <c r="C35" s="9">
        <f>Closure_Model!B47/Assumptions!B11</f>
        <v/>
      </c>
      <c r="D35" s="9">
        <f>Closure_Model!B49/Assumptions!B11</f>
        <v/>
      </c>
    </row>
    <row r="36">
      <c r="A36" s="21" t="inlineStr">
        <is>
          <t>Reading: among rural ELEMENTARY closures, the one clean no-construction comparable (Webster 2012) paid $3,525 per displaced student; every case at or near the plan's band built a new school (Perry, Adair, Metcalfe) or was a city or county-seat grade reshuffle (Somerset, Montgomery). Gaps beyond roughly a school's own cost per student are flagged in the notes: they prove budget-wide causes, which is why this model prices closure bottom-up (positions, busing, SEEK) rather than from budget trends.</t>
        </is>
      </c>
    </row>
    <row r="38">
      <c r="A38" s="4" t="inlineStr">
        <is>
          <t>THE FULL DISTRIBUTION, PER DISPLACED STUDENT (all measurable events; whole budget gap credited to the closure)</t>
        </is>
      </c>
    </row>
    <row r="39">
      <c r="A39" s="3" t="inlineStr">
        <is>
          <t>All 163 events: P25 / median / P75</t>
        </is>
      </c>
      <c r="B39" s="8" t="n">
        <v>-1875</v>
      </c>
      <c r="C39" s="8" t="n">
        <v>1102</v>
      </c>
      <c r="D39" s="8" t="n">
        <v>7520</v>
      </c>
    </row>
    <row r="40">
      <c r="A40" s="3" t="inlineStr">
        <is>
          <t>Physically plausible magnitudes only (within $13K, 116 events): P25 / median / P75</t>
        </is>
      </c>
      <c r="B40" s="8" t="n">
        <v>-1433</v>
      </c>
      <c r="C40" s="8" t="n">
        <v>818</v>
      </c>
      <c r="D40" s="8" t="n">
        <v>4120</v>
      </c>
    </row>
    <row r="41">
      <c r="A41" s="3" t="inlineStr">
        <is>
          <t>Share of districts spending MORE than trend after closing (all / plausible-only)</t>
        </is>
      </c>
      <c r="B41" s="40" t="n">
        <v>0.4</v>
      </c>
      <c r="C41" s="40" t="n">
        <v>0.41</v>
      </c>
    </row>
    <row r="42">
      <c r="A42" s="3" t="inlineStr">
        <is>
          <t>Analogous-subset RAW median, published for transparency</t>
        </is>
      </c>
      <c r="B42" s="8" t="n">
        <v>8440</v>
      </c>
    </row>
    <row r="43">
      <c r="A43" s="21" t="inlineStr">
        <is>
          <t xml:space="preserve">  why $8,440 is an artifact, not a savings figure: dividing whole-district budget noise by 60-320 student denominators explodes per-child values; 11 of 27 such events exceed the $13K physical ceiling in one direction or the other. Same events, plausible window only, median:</t>
        </is>
      </c>
      <c r="B43" s="8" t="n">
        <v>541</v>
      </c>
    </row>
    <row r="44">
      <c r="A44" s="3" t="inlineStr">
        <is>
          <t>CONVERGENCE CHECK: the record's plausible median vs this model's independent bottom-up median per displaced student</t>
        </is>
      </c>
      <c r="B44" s="8" t="n">
        <v>818</v>
      </c>
      <c r="C44" s="23">
        <f>91240/Assumptions!B11</f>
        <v/>
      </c>
    </row>
    <row r="46">
      <c r="A46" s="4" t="inlineStr">
        <is>
          <t>OUTCOMES, WITHIN ONE TESTING SYSTEM (federal proficiency series, closures 2012-2016, change vs state 3 years out)</t>
        </is>
      </c>
    </row>
    <row r="47">
      <c r="A47" s="3" t="inlineStr">
        <is>
          <t>Events measurable / improved 3+ pts / declined 3+ pts / flat</t>
        </is>
      </c>
      <c r="B47" s="10" t="n">
        <v>42</v>
      </c>
      <c r="C47" s="10" t="n">
        <v>11</v>
      </c>
      <c r="D47" s="10" t="n">
        <v>10</v>
      </c>
      <c r="E47" s="10" t="n">
        <v>21</v>
      </c>
    </row>
    <row r="48">
      <c r="A48" s="3" t="inlineStr">
        <is>
          <t>Spearman correlation, share of district displaced vs score change</t>
        </is>
      </c>
      <c r="B48" s="12" t="n">
        <v>-0.38</v>
      </c>
    </row>
    <row r="49">
      <c r="A49" s="3" t="inlineStr">
        <is>
          <t>Median score change: events displacing 15%+ of district / under 15%</t>
        </is>
      </c>
      <c r="B49" s="29" t="n">
        <v>-2</v>
      </c>
      <c r="C49" s="29" t="n">
        <v>-0.2</v>
      </c>
    </row>
    <row r="50">
      <c r="A50" s="3" t="inlineStr">
        <is>
          <t>Events with BOTH clear savings and clear gains</t>
        </is>
      </c>
      <c r="B50" s="10" t="n">
        <v>1</v>
      </c>
      <c r="C50" s="2" t="inlineStr">
        <is>
          <t>Leslie County 2013: middle school folded into an existing campus in the same community</t>
        </is>
      </c>
    </row>
    <row r="51">
      <c r="A51" s="3" t="inlineStr">
        <is>
          <t>Cases of a rural town's ELEMENTARY closed with clear savings and clear gains</t>
        </is>
      </c>
      <c r="B51" s="26" t="n">
        <v>0</v>
      </c>
    </row>
    <row r="53">
      <c r="A53" s="21" t="inlineStr">
        <is>
          <t>Honest limits: closures before 2012 and after 2016 cannot be score-tested across Kentucky's assessment-system changes; whole-district mergers are unobservable afterward; and same-size Kentucky towns that KEPT schools declined in population at nearly the same median rate as towns that lost them (-4.1 vs -3.5 percent, 2000-2020), so no claim is made that closure causes population decline. The claim is narrower: the record contains no measurable precedent for the savings or the improvement this plan promises.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2026-07-26T13:45:32Z</dcterms:created>
  <dcterms:modified xsi:type="dcterms:W3CDTF">2026-07-26T13:45:32Z</dcterms:modified>
</cp:coreProperties>
</file>