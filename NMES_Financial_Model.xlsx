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GF_Summary" sheetId="3" state="visible" r:id="rId3"/>
    <sheet name="Closure_Model" sheetId="4" state="visible" r:id="rId4"/>
    <sheet name="Growth_Model" sheetId="5" state="visible" r:id="rId5"/>
    <sheet name="Redistricting" sheetId="6" state="visible" r:id="rId6"/>
    <sheet name="Transport_Geo" sheetId="7" state="visible" r:id="rId7"/>
    <sheet name="Alternatives" sheetId="8" state="visible" r:id="rId8"/>
    <sheet name="Debt_Service" sheetId="9" state="visible" r:id="rId9"/>
    <sheet name="Runway" sheetId="10" state="visible" r:id="rId10"/>
    <sheet name="Scenarios" sheetId="11" state="visible" r:id="rId11"/>
    <sheet name="Tax_History" sheetId="12" state="visible" r:id="rId12"/>
    <sheet name="Demographics" sheetId="13" state="visible" r:id="rId13"/>
    <sheet name="School_Data" sheetId="14" state="visible" r:id="rId14"/>
    <sheet name="Facility_Plans" sheetId="15" state="visible" r:id="rId15"/>
  </sheets>
  <definedNames/>
  <calcPr calcId="124519" fullCalcOnLoad="1"/>
</workbook>
</file>

<file path=xl/styles.xml><?xml version="1.0" encoding="utf-8"?>
<styleSheet xmlns="http://schemas.openxmlformats.org/spreadsheetml/2006/main">
  <numFmts count="4">
    <numFmt numFmtId="164" formatCode="$#,##0;($#,##0);&quot;-&quot;"/>
    <numFmt numFmtId="165" formatCode="#,##0;(#,##0);&quot;-&quot;"/>
    <numFmt numFmtId="166" formatCode="0.0%"/>
    <numFmt numFmtId="167" formatCode="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color rgb="00FFFFFF"/>
      <sz val="11"/>
    </font>
    <font>
      <name val="Arial"/>
      <b val="1"/>
      <sz val="10"/>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3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0" fontId="7" fillId="3" borderId="0" pivotButton="0" quotePrefix="0" xfId="0"/>
    <xf numFmtId="164" fontId="6" fillId="0" borderId="0" pivotButton="0" quotePrefix="0" xfId="0"/>
    <xf numFmtId="166" fontId="3" fillId="0" borderId="0" pivotButton="0" quotePrefix="0" xfId="0"/>
    <xf numFmtId="167" fontId="3" fillId="0" borderId="0" pivotButton="0" quotePrefix="0" xfId="0"/>
    <xf numFmtId="0" fontId="2" fillId="0" borderId="0" applyAlignment="1" pivotButton="0" quotePrefix="0" xfId="0">
      <alignment vertical="top" wrapText="1"/>
    </xf>
    <xf numFmtId="0" fontId="8" fillId="0" borderId="0" pivotButton="0" quotePrefix="0" xfId="0"/>
    <xf numFmtId="164" fontId="8" fillId="0" borderId="0" pivotButton="0" quotePrefix="0" xfId="0"/>
    <xf numFmtId="164" fontId="8" fillId="0" borderId="1" pivotButton="0" quotePrefix="0" xfId="0"/>
    <xf numFmtId="165" fontId="6" fillId="0" borderId="0" pivotButton="0" quotePrefix="0" xfId="0"/>
    <xf numFmtId="1" fontId="3" fillId="0" borderId="0" pivotButton="0" quotePrefix="0" xfId="0"/>
    <xf numFmtId="2" fontId="5" fillId="2" borderId="0" pivotButton="0" quotePrefix="0" xfId="0"/>
    <xf numFmtId="167" fontId="5" fillId="0" borderId="0" pivotButton="0" quotePrefix="0" xfId="0"/>
    <xf numFmtId="2" fontId="3" fillId="0" borderId="0" pivotButton="0" quotePrefix="0" xfId="0"/>
    <xf numFmtId="164" fontId="3" fillId="0" borderId="1" pivotButton="0" quotePrefix="0" xfId="0"/>
    <xf numFmtId="1" fontId="5" fillId="0" borderId="0" pivotButton="0" quotePrefix="0" xfId="0"/>
    <xf numFmtId="167" fontId="7" fillId="3" borderId="0" pivotButton="0" quotePrefix="0" xfId="0"/>
    <xf numFmtId="165" fontId="8" fillId="0" borderId="0" pivotButton="0" quotePrefix="0" xfId="0"/>
    <xf numFmtId="166"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8"/>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July 2026 report 'A Deep Dive into Bourbon County Schools' (Bourbon County, Kentucky)</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Multi-year school scores and NMES enrollment history: School_Data tab (backs report Figures 6, 7, and 11).</t>
        </is>
      </c>
    </row>
    <row r="20">
      <c r="A20" s="2" t="inlineStr">
        <is>
          <t xml:space="preserve">  County demographics and the full 1989-2025 NMES enrollment series: Demographics tab (backs Section 9 and Figure 12).</t>
        </is>
      </c>
    </row>
    <row r="21">
      <c r="A21" s="2" t="inlineStr">
        <is>
          <t xml:space="preserve">  Tax rates, fund split, delinquency check, and the 4% three-year path: Tax_History tab (backs Figure 16).</t>
        </is>
      </c>
    </row>
    <row r="22">
      <c r="A22" s="2" t="inlineStr">
        <is>
          <t xml:space="preserve">  Boundary rebalancing and fill-to-capacity scenario: Redistricting tab (backs the Section 9 worked example and Figure 13).</t>
        </is>
      </c>
    </row>
    <row r="23">
      <c r="A23" s="2" t="inlineStr">
        <is>
          <t xml:space="preserve">  Bonding capacity components and what closure can and cannot change: Debt_Service tab (backs Section 6).</t>
        </is>
      </c>
    </row>
    <row r="24">
      <c r="A24" s="2" t="inlineStr">
        <is>
          <t xml:space="preserve">  Student density, route-mile math, and busing cost scenarios: Transport_Geo tab (backs Section 9).</t>
        </is>
      </c>
    </row>
    <row r="25">
      <c r="A25" s="3" t="inlineStr"/>
    </row>
    <row r="26">
      <c r="A26" s="4" t="inlineStr">
        <is>
          <t>CAVEAT</t>
        </is>
      </c>
    </row>
    <row r="27">
      <c r="A27" s="3" t="inlineStr">
        <is>
          <t>Prepared by a former NMES King working alongside Claude, an AI research assistant from Anthropic. Estimates are labeled; every figure</t>
        </is>
      </c>
    </row>
    <row r="28">
      <c r="A28" s="3" t="inlineStr">
        <is>
          <t>should be re-verified against the cited primary sources before 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7"/>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4626</v>
      </c>
      <c r="C6" s="2" t="inlineStr">
        <is>
          <t>2026-2028 KY budget (HB 500)</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(estimates; district must replace with actuals)</t>
        </is>
      </c>
    </row>
    <row r="51">
      <c r="A51" s="3" t="inlineStr">
        <is>
          <t>Principal &amp; office costs avoided</t>
        </is>
      </c>
      <c r="B51" s="14" t="n">
        <v>175000</v>
      </c>
      <c r="C51" s="2" t="inlineStr">
        <is>
          <t>Estimate</t>
        </is>
      </c>
    </row>
    <row r="52">
      <c r="A52" s="3" t="inlineStr">
        <is>
          <t>Plant/utilities/insurance avoided, net of carrying cost</t>
        </is>
      </c>
      <c r="B52" s="14" t="n">
        <v>115000</v>
      </c>
      <c r="C52" s="2" t="inlineStr">
        <is>
          <t>Estimate; assumes building sold or repurposed</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17" t="inlineStr"/>
      <c r="B3" s="17" t="inlineStr">
        <is>
          <t>FY2023</t>
        </is>
      </c>
      <c r="C3" s="17" t="inlineStr">
        <is>
          <t>FY2024</t>
        </is>
      </c>
      <c r="D3" s="17" t="inlineStr">
        <is>
          <t>FY2025</t>
        </is>
      </c>
    </row>
    <row r="4">
      <c r="A4" s="3" t="inlineStr">
        <is>
          <t>Revenues before transfers</t>
        </is>
      </c>
      <c r="B4" s="18">
        <f>Assumptions!B19</f>
        <v/>
      </c>
      <c r="C4" s="18">
        <f>Assumptions!B20</f>
        <v/>
      </c>
      <c r="D4" s="18">
        <f>Assumptions!B21</f>
        <v/>
      </c>
    </row>
    <row r="5">
      <c r="A5" s="3" t="inlineStr">
        <is>
          <t>Expenditures before transfers</t>
        </is>
      </c>
      <c r="B5" s="18">
        <f>Assumptions!B22</f>
        <v/>
      </c>
      <c r="C5" s="18">
        <f>Assumptions!B23</f>
        <v/>
      </c>
      <c r="D5" s="18">
        <f>Assumptions!B24</f>
        <v/>
      </c>
    </row>
    <row r="6">
      <c r="A6" s="3" t="inlineStr">
        <is>
          <t>Operating result before transfers</t>
        </is>
      </c>
      <c r="B6" s="9">
        <f>B4-B5</f>
        <v/>
      </c>
      <c r="C6" s="9">
        <f>C4-C5</f>
        <v/>
      </c>
      <c r="D6" s="9">
        <f>D4-D5</f>
        <v/>
      </c>
    </row>
    <row r="7">
      <c r="A7" s="3" t="inlineStr">
        <is>
          <t>Net transfers &amp; other sources</t>
        </is>
      </c>
      <c r="C7" s="18">
        <f>Assumptions!B25</f>
        <v/>
      </c>
      <c r="D7" s="18">
        <f>Assumptions!B26</f>
        <v/>
      </c>
    </row>
    <row r="8">
      <c r="A8" s="3" t="inlineStr">
        <is>
          <t>Change in fund balance</t>
        </is>
      </c>
      <c r="C8" s="9">
        <f>C6+C7</f>
        <v/>
      </c>
      <c r="D8" s="9">
        <f>D6+D7</f>
        <v/>
      </c>
    </row>
    <row r="9">
      <c r="A9" s="3" t="inlineStr">
        <is>
          <t>Ending fund balance</t>
        </is>
      </c>
      <c r="B9" s="18">
        <f>Assumptions!B27</f>
        <v/>
      </c>
      <c r="C9" s="18">
        <f>Assumptions!B28</f>
        <v/>
      </c>
      <c r="D9" s="18">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9">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0">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35"/>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18">
        <f>Assumptions!B14*Assumptions!B11</f>
        <v/>
      </c>
    </row>
    <row r="7">
      <c r="A7" s="3" t="inlineStr">
        <is>
          <t>State/local share of site spending</t>
        </is>
      </c>
      <c r="B7" s="18">
        <f>Assumptions!B15*Assumptions!B11</f>
        <v/>
      </c>
    </row>
    <row r="9">
      <c r="A9" s="4" t="inlineStr">
        <is>
          <t>RECURRING SAVINGS (costs that truly disappear)</t>
        </is>
      </c>
    </row>
    <row r="10">
      <c r="A10" s="3" t="inlineStr">
        <is>
          <t>Principal &amp; office</t>
        </is>
      </c>
      <c r="B10" s="18">
        <f>Assumptions!B51</f>
        <v/>
      </c>
    </row>
    <row r="11">
      <c r="A11" s="3" t="inlineStr">
        <is>
          <t>Plant, utilities, insurance (net of carrying cost)</t>
        </is>
      </c>
      <c r="B11" s="18">
        <f>Assumptions!B52</f>
        <v/>
      </c>
    </row>
    <row r="12">
      <c r="A12" s="3" t="inlineStr">
        <is>
          <t>Teaching positions eliminated (via attrition)</t>
        </is>
      </c>
      <c r="B12" s="18">
        <f>Assumptions!B53*Assumptions!B41</f>
        <v/>
      </c>
    </row>
    <row r="13">
      <c r="A13" s="22" t="inlineStr">
        <is>
          <t>Gross avoidable cost</t>
        </is>
      </c>
      <c r="B13" s="23">
        <f>SUM(B10:B12)</f>
        <v/>
      </c>
    </row>
    <row r="15">
      <c r="A15" s="4" t="inlineStr">
        <is>
          <t>RECURRING OFFSETS (new costs and lost revenue)</t>
        </is>
      </c>
    </row>
    <row r="16">
      <c r="A16" s="3" t="inlineStr">
        <is>
          <t>Added busing</t>
        </is>
      </c>
      <c r="B16" s="18">
        <f>Assumptions!B54</f>
        <v/>
      </c>
    </row>
    <row r="17">
      <c r="A17" s="3" t="inlineStr">
        <is>
          <t>SEEK revenue lost to departing students (FY2027 base)</t>
        </is>
      </c>
      <c r="B17" s="18">
        <f>Assumptions!B55*Assumptions!B6</f>
        <v/>
      </c>
    </row>
    <row r="18">
      <c r="A18" s="22" t="inlineStr">
        <is>
          <t>Total offsets</t>
        </is>
      </c>
      <c r="B18" s="23">
        <f>SUM(B16:B17)</f>
        <v/>
      </c>
    </row>
    <row r="20">
      <c r="A20" s="22" t="inlineStr">
        <is>
          <t>NET RECURRING GENERAL FUND SAVING</t>
        </is>
      </c>
      <c r="B20" s="24">
        <f>B13-B18</f>
        <v/>
      </c>
    </row>
    <row r="21">
      <c r="A21" s="3" t="inlineStr">
        <is>
          <t>Share of the structural deficit ($2.65M) | of the reserve drawdown ($1.15M)</t>
        </is>
      </c>
      <c r="B21" s="19">
        <f>B20/(Assumptions!B24-Assumptions!B21)</f>
        <v/>
      </c>
      <c r="C21" s="19">
        <f>B20/GF_Summary!D16</f>
        <v/>
      </c>
    </row>
    <row r="22">
      <c r="A22" s="3" t="inlineStr">
        <is>
          <t>One-time transition cost (year one)</t>
        </is>
      </c>
      <c r="B22" s="18">
        <f>Assumptions!B56</f>
        <v/>
      </c>
    </row>
    <row r="24">
      <c r="A24" s="4" t="inlineStr">
        <is>
          <t>SENSITIVITY: STUDENTS LEAVING THE DISTRICT</t>
        </is>
      </c>
    </row>
    <row r="25">
      <c r="A25" s="22" t="inlineStr">
        <is>
          <t>Students leaving</t>
        </is>
      </c>
      <c r="B25" s="22"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DISTRICT-FAVORABLE CASE (red-team): 5 positions cut, low busing, no departures</t>
        </is>
      </c>
    </row>
    <row r="34">
      <c r="A34" s="3" t="inlineStr">
        <is>
          <t>Net recurring saving, favorable case</t>
        </is>
      </c>
      <c r="B34" s="18">
        <f>Assumptions!B51+Assumptions!B52+Assumptions!B66*Assumptions!B41-Assumptions!B67</f>
        <v/>
      </c>
    </row>
    <row r="35">
      <c r="A35" s="3" t="inlineStr">
        <is>
          <t>Share of the structural deficit ($2.65M) | of the reserve drawdown ($1.15M)</t>
        </is>
      </c>
      <c r="B35" s="19">
        <f>B34/(Assumptions!B24-Assumptions!B21)</f>
        <v/>
      </c>
      <c r="C35" s="19">
        <f>B34/GF_Summary!D16</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5"/>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t>
        </is>
      </c>
    </row>
    <row r="2">
      <c r="A2" s="2" t="inlineStr">
        <is>
          <t>SEEK funding follows nonresident students since July 2022; no agreement from the home district is required.</t>
        </is>
      </c>
    </row>
    <row r="4">
      <c r="A4" s="17" t="inlineStr"/>
      <c r="B4" s="17" t="inlineStr">
        <is>
          <t>FY2027</t>
        </is>
      </c>
      <c r="C4" s="17" t="inlineStr">
        <is>
          <t>FY2028</t>
        </is>
      </c>
      <c r="D4" s="17" t="inlineStr">
        <is>
          <t>FY2029</t>
        </is>
      </c>
    </row>
    <row r="5">
      <c r="A5" s="3" t="inlineStr">
        <is>
          <t>Transfer students (scenario)</t>
        </is>
      </c>
      <c r="B5" s="25">
        <f>Assumptions!B59</f>
        <v/>
      </c>
      <c r="C5" s="25">
        <f>Assumptions!B60</f>
        <v/>
      </c>
      <c r="D5" s="25">
        <f>Assumptions!B61</f>
        <v/>
      </c>
    </row>
    <row r="6">
      <c r="A6" s="3" t="inlineStr">
        <is>
          <t>Enrolled (capped at open seats)</t>
        </is>
      </c>
      <c r="B6" s="11">
        <f>MIN(B5,Assumptions!$B$13)</f>
        <v/>
      </c>
      <c r="C6" s="11">
        <f>MIN(C5,Assumptions!$B$13)</f>
        <v/>
      </c>
      <c r="D6" s="11">
        <f>MIN(D5,Assumptions!$B$13)</f>
        <v/>
      </c>
    </row>
    <row r="7">
      <c r="A7" s="3" t="inlineStr">
        <is>
          <t>SEEK base per pupil</t>
        </is>
      </c>
      <c r="B7" s="18">
        <f>Assumptions!B6</f>
        <v/>
      </c>
      <c r="C7" s="18">
        <f>Assumptions!B7</f>
        <v/>
      </c>
      <c r="D7" s="18">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IF(B6&gt;Assumptions!$B$63,Assumptions!$B$41,0)</f>
        <v/>
      </c>
      <c r="C10" s="9">
        <f>IF(C6&gt;Assumptions!$B$63,Assumptions!$B$41,0)</f>
        <v/>
      </c>
      <c r="D10" s="9">
        <f>IF(D6&gt;Assumptions!$B$63,Assumptions!$B$41,0)</f>
        <v/>
      </c>
    </row>
    <row r="11">
      <c r="A11" s="22" t="inlineStr">
        <is>
          <t>Net new recurring revenue</t>
        </is>
      </c>
      <c r="B11" s="24">
        <f>B8-B9-B10</f>
        <v/>
      </c>
      <c r="C11" s="24">
        <f>C8-C9-C10</f>
        <v/>
      </c>
      <c r="D11" s="24">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89"/>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district holds the geocoded student counts and routing data a true optimization needs; releasing them is a records ask in the report.</t>
        </is>
      </c>
    </row>
    <row r="4">
      <c r="A4" s="4" t="inlineStr">
        <is>
          <t>CURRENT ELEMENTARY MAP (2024-25 counts as cited in report Sections 4 and 9)</t>
        </is>
      </c>
    </row>
    <row r="5">
      <c r="A5" s="3" t="inlineStr">
        <is>
          <t>NMES enrollment</t>
        </is>
      </c>
      <c r="B5" s="25">
        <f>Assumptions!B11</f>
        <v/>
      </c>
    </row>
    <row r="6">
      <c r="A6" s="3" t="inlineStr">
        <is>
          <t>NMES rated capacity</t>
        </is>
      </c>
      <c r="B6" s="25">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classroom sections</t>
        </is>
      </c>
      <c r="B20" s="10" t="n">
        <v>9</v>
      </c>
      <c r="C20" s="2" t="inlineStr">
        <is>
          <t>9.41 classroom FTE, NCES; K-5 across nine homerooms</t>
        </is>
      </c>
    </row>
    <row r="21">
      <c r="A21" s="3" t="inlineStr">
        <is>
          <t>Average class size today</t>
        </is>
      </c>
      <c r="B21" s="20">
        <f>B5/B20</f>
        <v/>
      </c>
    </row>
    <row r="22">
      <c r="A22" s="3" t="inlineStr">
        <is>
          <t>Average class size at capacity</t>
        </is>
      </c>
      <c r="B22" s="20">
        <f>B14/B20</f>
        <v/>
      </c>
    </row>
    <row r="23">
      <c r="A23" s="2" t="inlineStr">
        <is>
          <t>Statutory caps (KRS 157.360): 24 in K-3, 28 in grade 4, 29 in grades 5-6. The scenario adds no NMES teachers.</t>
        </is>
      </c>
    </row>
    <row r="25">
      <c r="A25" s="4" t="inlineStr">
        <is>
          <t>RECURRING DOLLARS</t>
        </is>
      </c>
    </row>
    <row r="26">
      <c r="A26" s="3" t="inlineStr">
        <is>
          <t>New SEEK revenue from cross-county transfers (FY2027 base)</t>
        </is>
      </c>
      <c r="B26" s="18">
        <f>B13*Assumptions!B6</f>
        <v/>
      </c>
    </row>
    <row r="27">
      <c r="A27" s="3" t="inlineStr">
        <is>
          <t>Variable cost of all added students</t>
        </is>
      </c>
      <c r="B27" s="18">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2" t="inlineStr">
        <is>
          <t>Net recurring benefit, low</t>
        </is>
      </c>
      <c r="B30" s="24">
        <f>B26-B27+B28*Assumptions!B41</f>
        <v/>
      </c>
    </row>
    <row r="31">
      <c r="A31" s="22" t="inlineStr">
        <is>
          <t>Net recurring benefit, high</t>
        </is>
      </c>
      <c r="B31" s="23">
        <f>B26-B27+B29*Assumptions!B41</f>
        <v/>
      </c>
    </row>
    <row r="33">
      <c r="A33" s="4" t="inlineStr">
        <is>
          <t>PER-STUDENT ARITHMETIC (the number the closure argument leans on)</t>
        </is>
      </c>
    </row>
    <row r="34">
      <c r="A34" s="3" t="inlineStr">
        <is>
          <t>NMES site spending today</t>
        </is>
      </c>
      <c r="B34" s="18">
        <f>Assumptions!B14*Assumptions!B11</f>
        <v/>
      </c>
    </row>
    <row r="35">
      <c r="A35" s="3" t="inlineStr">
        <is>
          <t>Per student today</t>
        </is>
      </c>
      <c r="B35" s="18">
        <f>Assumptions!B14</f>
        <v/>
      </c>
    </row>
    <row r="36">
      <c r="A36" s="3" t="inlineStr">
        <is>
          <t>Per student at capacity (site cost plus variable cost, over 174)</t>
        </is>
      </c>
      <c r="B36" s="9">
        <f>(B34+(B12+B13)*Assumptions!B62)/B14</f>
        <v/>
      </c>
    </row>
    <row r="37">
      <c r="A37" s="3" t="inlineStr">
        <is>
          <t>Change</t>
        </is>
      </c>
      <c r="B37" s="19">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grade-by-grade capacities at Bourbon Central and Cane Ridge are a records ask (report Question 3).</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row r="45">
      <c r="A45" s="4" t="inlineStr">
        <is>
          <t>FILLED-TO-CAPACITY PER-PUPIL COST VS THE RECEIVING SCHOOLS (KDE 2023-24 filings)</t>
        </is>
      </c>
    </row>
    <row r="46">
      <c r="A46" s="3" t="inlineStr">
        <is>
          <t>Bourbon Central per pupil today</t>
        </is>
      </c>
      <c r="B46" s="8" t="n">
        <v>18131</v>
      </c>
      <c r="C46" s="2" t="inlineStr">
        <is>
          <t>District's own KDE school-level filing, 2023-24</t>
        </is>
      </c>
    </row>
    <row r="47">
      <c r="A47" s="3" t="inlineStr">
        <is>
          <t>Cane Ridge per pupil today</t>
        </is>
      </c>
      <c r="B47" s="8" t="n">
        <v>18670</v>
      </c>
      <c r="C47" s="2" t="inlineStr">
        <is>
          <t>Same filing; Cane Ridge runs 31 students over its rated capacity</t>
        </is>
      </c>
    </row>
    <row r="48">
      <c r="A48" s="3" t="inlineStr">
        <is>
          <t>NMES per pupil today</t>
        </is>
      </c>
      <c r="B48" s="18">
        <f>Assumptions!B14</f>
        <v/>
      </c>
    </row>
    <row r="49">
      <c r="A49" s="3" t="inlineStr">
        <is>
          <t>NMES filled to 174 (state-approved rating), no added teachers</t>
        </is>
      </c>
      <c r="B49" s="9">
        <f>(B34+(B6-B5)*Assumptions!B62)/B6</f>
        <v/>
      </c>
      <c r="C49" s="21" t="inlineStr">
        <is>
          <t>Nine existing homerooms average 19.3 students at 174, inside every KRS 157.360 cap; only variable costs added</t>
        </is>
      </c>
    </row>
    <row r="50">
      <c r="A50" s="3" t="inlineStr">
        <is>
          <t>NMES filled to 174, conservative (two teachers added anyway)</t>
        </is>
      </c>
      <c r="B50" s="9">
        <f>(B34+2*Assumptions!B41+(B6-B5)*Assumptions!B62)/B6</f>
        <v/>
      </c>
      <c r="C50" s="21" t="inlineStr">
        <is>
          <t>Adds two loaded certified positions even though class sizes do not require them</t>
        </is>
      </c>
    </row>
    <row r="51">
      <c r="A51" s="3" t="inlineStr">
        <is>
          <t>NMES filled to 154 (2026 draft plan rating), no added teachers</t>
        </is>
      </c>
      <c r="B51" s="9">
        <f>(B34+(154-B5)*Assumptions!B62)/154</f>
        <v/>
      </c>
      <c r="C51" s="21" t="inlineStr">
        <is>
          <t>Same math at the draft plan's lower rating; class sizes average 17.1</t>
        </is>
      </c>
    </row>
    <row r="52">
      <c r="A52" s="22" t="inlineStr">
        <is>
          <t>NMES at 174 vs cheapest receiving school</t>
        </is>
      </c>
      <c r="B52" s="24">
        <f>B49-MIN(B46,B47)</f>
        <v/>
      </c>
      <c r="C52" s="21" t="inlineStr">
        <is>
          <t>Negative = NMES becomes the cheapest elementary school in the district</t>
        </is>
      </c>
    </row>
    <row r="53">
      <c r="A53" s="21" t="inlineStr">
        <is>
          <t>Filling the school reverses the cost argument: the premium exists because fixed costs sit on 128 students; spread over 174 the same school costs less per child than either receiving school, and the transfer students free the exact seats Cane Ridge is over capacity by.</t>
        </is>
      </c>
    </row>
    <row r="55">
      <c r="A55" s="4" t="inlineStr">
        <is>
          <t>SENSITIVITY: IS THE CAPACITY RESULT STRUCTURAL, OR AN ARTIFACT OF ASSUMPTIONS?</t>
        </is>
      </c>
    </row>
    <row r="56">
      <c r="A56" s="21" t="inlineStr">
        <is>
          <t>The only lever that matters is the marginal cost of each added student. Break-even values below are the marginal cost at which NMES at capacity stops being cheaper. Compare them to reality: added supplies and materials run a few hundred dollars; even hiring staff in proportion to students costs roughly half the average, because the average includes the principal, building, and staff already paid for.</t>
        </is>
      </c>
    </row>
    <row r="57">
      <c r="A57" s="3" t="inlineStr">
        <is>
          <t>Break-even marginal cost, NMES at 174 vs Bourbon Central</t>
        </is>
      </c>
      <c r="B57" s="9">
        <f>(B46*B6-B34)/(B6-B5)</f>
        <v/>
      </c>
      <c r="C57" s="21" t="inlineStr">
        <is>
          <t>NMES stays cheaper than Bourbon Central for any marginal cost below this</t>
        </is>
      </c>
    </row>
    <row r="58">
      <c r="A58" s="3" t="inlineStr">
        <is>
          <t>Break-even marginal cost, NMES at 174 vs Cane Ridge</t>
        </is>
      </c>
      <c r="B58" s="9">
        <f>(B47*B6-B34)/(B6-B5)</f>
        <v/>
      </c>
    </row>
    <row r="59">
      <c r="A59" s="3" t="inlineStr">
        <is>
          <t>Break-even marginal cost, NMES at 154 vs Bourbon Central</t>
        </is>
      </c>
      <c r="B59" s="9">
        <f>(B46*154-B34)/(154-B5)</f>
        <v/>
      </c>
    </row>
    <row r="60">
      <c r="A60" s="3" t="inlineStr">
        <is>
          <t>Break-even marginal cost, NMES at 154 vs Cane Ridge</t>
        </is>
      </c>
      <c r="B60" s="9">
        <f>(B47*154-B34)/(154-B5)</f>
        <v/>
      </c>
    </row>
    <row r="61">
      <c r="A61" s="3" t="inlineStr">
        <is>
          <t>Reference: NMES's ENTIRE state and local spending per pupil (fixed costs included)</t>
        </is>
      </c>
      <c r="B61" s="18">
        <f>Assumptions!B15</f>
        <v/>
      </c>
      <c r="C61" s="21" t="inlineStr">
        <is>
          <t>Even if every added student cost this full amount, which is impossible since it includes the fixed costs already paid, NMES at 174 still comes in under both receiving schools</t>
        </is>
      </c>
    </row>
    <row r="63">
      <c r="A63" s="4" t="inlineStr">
        <is>
          <t>PER-PUPIL GRID ACROSS MARGINAL-COST ASSUMPTIONS</t>
        </is>
      </c>
    </row>
    <row r="64">
      <c r="A64" s="3" t="inlineStr">
        <is>
          <t>Marginal cost per added student</t>
        </is>
      </c>
      <c r="B64" s="17" t="inlineStr">
        <is>
          <t>At 174</t>
        </is>
      </c>
      <c r="C64" s="17" t="inlineStr">
        <is>
          <t>At 154</t>
        </is>
      </c>
    </row>
    <row r="65">
      <c r="A65" s="8" t="n">
        <v>400</v>
      </c>
      <c r="B65" s="9">
        <f>(B$34+(B$6-B$5)*A65)/B$6</f>
        <v/>
      </c>
      <c r="C65" s="9">
        <f>(B$34+(154-B$5)*A65)/154</f>
        <v/>
      </c>
    </row>
    <row r="66">
      <c r="A66" s="8" t="n">
        <v>2500</v>
      </c>
      <c r="B66" s="9">
        <f>(B$34+(B$6-B$5)*A66)/B$6</f>
        <v/>
      </c>
      <c r="C66" s="9">
        <f>(B$34+(154-B$5)*A66)/154</f>
        <v/>
      </c>
    </row>
    <row r="67">
      <c r="A67" s="8" t="n">
        <v>5000</v>
      </c>
      <c r="B67" s="9">
        <f>(B$34+(B$6-B$5)*A67)/B$6</f>
        <v/>
      </c>
      <c r="C67" s="9">
        <f>(B$34+(154-B$5)*A67)/154</f>
        <v/>
      </c>
    </row>
    <row r="68">
      <c r="A68" s="8" t="n">
        <v>10000</v>
      </c>
      <c r="B68" s="9">
        <f>(B$34+(B$6-B$5)*A68)/B$6</f>
        <v/>
      </c>
      <c r="C68" s="9">
        <f>(B$34+(154-B$5)*A68)/154</f>
        <v/>
      </c>
    </row>
    <row r="69">
      <c r="A69" s="8" t="n">
        <v>14173</v>
      </c>
      <c r="B69" s="9">
        <f>(B$34+(B$6-B$5)*A69)/B$6</f>
        <v/>
      </c>
      <c r="C69" s="9">
        <f>(B$34+(154-B$5)*A69)/154</f>
        <v/>
      </c>
    </row>
    <row r="70">
      <c r="A70" s="21" t="inlineStr">
        <is>
          <t>Receiving schools today: Bourbon Central $18,131, Cane Ridge $18,670. At the state-approved 174 rating, NMES undercuts both across the entire grid, including the impossible full-average case. At the draft plan's 154 rating it holds for any marginal cost under about $12,000, roughly thirty times the realistic figure. Verdict: structural at 174, robust at 154.</t>
        </is>
      </c>
    </row>
    <row r="71">
      <c r="A71" s="21" t="inlineStr">
        <is>
          <t>Base-year variant: at the current 115 enrolled, filling to 174 adds 59 students and the break-even vs Bourbon Central falls to about $11,500, with the same verdict. Two added teachers at the loaded rate are equivalent to about $3,700 of marginal cost per student, inside the grid above.</t>
        </is>
      </c>
    </row>
    <row r="73">
      <c r="A73" s="4" t="inlineStr">
        <is>
          <t>FIVE YEARS OF THE SAME TEST (KDE school-level filings, 2019-20 to 2023-24; backs Figure 6)</t>
        </is>
      </c>
    </row>
    <row r="74">
      <c r="A74" s="17" t="inlineStr">
        <is>
          <t>Year</t>
        </is>
      </c>
      <c r="B74" s="17" t="inlineStr">
        <is>
          <t>NMES members</t>
        </is>
      </c>
      <c r="C74" s="17" t="inlineStr">
        <is>
          <t>NMES $/pupil</t>
        </is>
      </c>
      <c r="D74" s="17" t="inlineStr">
        <is>
          <t>BCES $/pupil</t>
        </is>
      </c>
      <c r="E74" s="17" t="inlineStr">
        <is>
          <t>CRES $/pupil</t>
        </is>
      </c>
      <c r="F74" s="17" t="inlineStr">
        <is>
          <t>NMES at 174</t>
        </is>
      </c>
    </row>
    <row r="75">
      <c r="A75" s="3" t="inlineStr">
        <is>
          <t>2019-20</t>
        </is>
      </c>
      <c r="B75" s="10" t="n">
        <v>166</v>
      </c>
      <c r="C75" s="8" t="n">
        <v>12903</v>
      </c>
      <c r="D75" s="8" t="n">
        <v>12159</v>
      </c>
      <c r="E75" s="8" t="n">
        <v>12168</v>
      </c>
      <c r="F75" s="9">
        <f>(C75*B75+(174-B75)*Assumptions!B62)/174</f>
        <v/>
      </c>
    </row>
    <row r="76">
      <c r="A76" s="3" t="inlineStr">
        <is>
          <t>2020-21</t>
        </is>
      </c>
      <c r="B76" s="10" t="n">
        <v>160</v>
      </c>
      <c r="C76" s="8" t="n">
        <v>15406</v>
      </c>
      <c r="D76" s="8" t="n">
        <v>14011</v>
      </c>
      <c r="E76" s="8" t="n">
        <v>14621</v>
      </c>
      <c r="F76" s="9">
        <f>(C76*B76+(174-B76)*Assumptions!B62)/174</f>
        <v/>
      </c>
    </row>
    <row r="77">
      <c r="A77" s="3" t="inlineStr">
        <is>
          <t>2021-22</t>
        </is>
      </c>
      <c r="B77" s="10" t="n">
        <v>146</v>
      </c>
      <c r="C77" s="8" t="n">
        <v>19080</v>
      </c>
      <c r="D77" s="8" t="n">
        <v>15619</v>
      </c>
      <c r="E77" s="8" t="n">
        <v>16137</v>
      </c>
      <c r="F77" s="9">
        <f>(C77*B77+(174-B77)*Assumptions!B62)/174</f>
        <v/>
      </c>
    </row>
    <row r="78">
      <c r="A78" s="3" t="inlineStr">
        <is>
          <t>2022-23</t>
        </is>
      </c>
      <c r="B78" s="10" t="n">
        <v>144</v>
      </c>
      <c r="C78" s="8" t="n">
        <v>19003</v>
      </c>
      <c r="D78" s="8" t="n">
        <v>17410</v>
      </c>
      <c r="E78" s="8" t="n">
        <v>17403</v>
      </c>
      <c r="F78" s="9">
        <f>(C78*B78+(174-B78)*Assumptions!B62)/174</f>
        <v/>
      </c>
    </row>
    <row r="79">
      <c r="A79" s="3" t="inlineStr">
        <is>
          <t>2023-24</t>
        </is>
      </c>
      <c r="B79" s="10" t="n">
        <v>128</v>
      </c>
      <c r="C79" s="8" t="n">
        <v>19348</v>
      </c>
      <c r="D79" s="8" t="n">
        <v>18131</v>
      </c>
      <c r="E79" s="8" t="n">
        <v>18670</v>
      </c>
      <c r="F79" s="9">
        <f>(C79*B79+(174-B79)*Assumptions!B62)/174</f>
        <v/>
      </c>
    </row>
    <row r="81">
      <c r="A81" s="21" t="inlineStr">
        <is>
          <t>The counterfactual column is below both receiving schools in every year on record. NMES's total site spending grew 16 percent over the five years, against 37 percent at Bourbon Central and 47 percent at Cane Ridge; only the divisor changed.</t>
        </is>
      </c>
    </row>
    <row r="83">
      <c r="A83" s="4" t="inlineStr">
        <is>
          <t>SYMMETRY CHECK: THE SENDERS' PER-PUPIL AFTER THE MOVE (2023-24 basis)</t>
        </is>
      </c>
    </row>
    <row r="84">
      <c r="A84" s="21" t="inlineStr">
        <is>
          <t>Per-pupil rises at the senders for the same denominator reason it falls at NMES; a pure shuffle leaves total district spending nearly unchanged in either direction. The comparison below is the honest post-move one.</t>
        </is>
      </c>
    </row>
    <row r="85">
      <c r="A85" s="3" t="inlineStr">
        <is>
          <t>Bourbon Central after sending 15 rezoned students</t>
        </is>
      </c>
      <c r="B85" s="9">
        <f>(8902321-15*Assumptions!B62)/(491-15)</f>
        <v/>
      </c>
      <c r="C85" s="21" t="inlineStr">
        <is>
          <t>2023-24 filing: $8,902,321 across 491 members; loses only variable cost per departing student</t>
        </is>
      </c>
    </row>
    <row r="86">
      <c r="A86" s="3" t="inlineStr">
        <is>
          <t>Cane Ridge after sending 15 rezoned students</t>
        </is>
      </c>
      <c r="B86" s="9">
        <f>(8606870-15*Assumptions!B62)/(461-15)</f>
        <v/>
      </c>
    </row>
    <row r="87">
      <c r="A87" s="3" t="inlineStr">
        <is>
          <t>Stress case: all 46 drawn in-county, 23 from each sender</t>
        </is>
      </c>
      <c r="B87" s="9">
        <f>(8902321-23*Assumptions!B62)/(491-23)</f>
        <v/>
      </c>
      <c r="C87" s="2" t="inlineStr">
        <is>
          <t>Bourbon Central; Cane Ridge in the next row</t>
        </is>
      </c>
    </row>
    <row r="88">
      <c r="A88" s="3" t="inlineStr">
        <is>
          <t>Stress case, Cane Ridge</t>
        </is>
      </c>
      <c r="B88" s="9">
        <f>(8606870-23*Assumptions!B62)/(461-23)</f>
        <v/>
      </c>
    </row>
    <row r="89">
      <c r="A89" s="21" t="inlineStr">
        <is>
          <t>NMES at 174 stays the cheapest of the three after the move, by a wider margin than before it (about $4,400 vs $3,800). The district-level cash case is booked separately and conservatively above as the net recurring benefit: consolidated sections at the senders, HB 563 SEEK revenue from out-of-county transfers, and capacity relief at Cane Ridge, which runs 31 students over its rating. The same symmetry runs the other way: closing NMES would lower the receiving schools' per-pupil optics while saving almost nothing in total, which is the closure case's weakness in one sentence.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5">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26">
        <f>B5*B9</f>
        <v/>
      </c>
    </row>
    <row r="11">
      <c r="A11" s="3" t="inlineStr">
        <is>
          <t>Paris-area zones (sq mi)</t>
        </is>
      </c>
      <c r="B11" s="26">
        <f>B5-B10</f>
        <v/>
      </c>
    </row>
    <row r="12">
      <c r="A12" s="3" t="inlineStr">
        <is>
          <t>NMES elementary students</t>
        </is>
      </c>
      <c r="B12" s="25">
        <f>Assumptions!B11</f>
        <v/>
      </c>
    </row>
    <row r="13">
      <c r="A13" s="3" t="inlineStr">
        <is>
          <t>Paris-area elementary students</t>
        </is>
      </c>
      <c r="B13" s="25">
        <f>Redistricting!B8+Redistricting!B9</f>
        <v/>
      </c>
    </row>
    <row r="14">
      <c r="A14" s="3" t="inlineStr">
        <is>
          <t>Students per square mile, NMES zone</t>
        </is>
      </c>
      <c r="B14" s="20">
        <f>B12/B10</f>
        <v/>
      </c>
    </row>
    <row r="15">
      <c r="A15" s="3" t="inlineStr">
        <is>
          <t>Students per square mile, Paris-area zones</t>
        </is>
      </c>
      <c r="B15" s="20">
        <f>B13/B11</f>
        <v/>
      </c>
    </row>
    <row r="16">
      <c r="A16" s="3" t="inlineStr">
        <is>
          <t>Students per square mile, district elementary overall</t>
        </is>
      </c>
      <c r="B16" s="20">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27" t="n">
        <v>2.5</v>
      </c>
      <c r="C27" s="2" t="inlineStr">
        <is>
          <t>Fuel, maintenance, driver time; replace with district cost data</t>
        </is>
      </c>
    </row>
    <row r="28">
      <c r="A28" s="3" t="inlineStr">
        <is>
          <t>Marginal cost per bus-mile, high</t>
        </is>
      </c>
      <c r="B28" s="27"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2" t="inlineStr">
        <is>
          <t>Bottom-up added busing cost, low</t>
        </is>
      </c>
      <c r="B33" s="24">
        <f>B29</f>
        <v/>
      </c>
    </row>
    <row r="34">
      <c r="A34" s="22" t="inlineStr">
        <is>
          <t>Bottom-up added busing cost, high</t>
        </is>
      </c>
      <c r="B34" s="23">
        <f>B30+B31*B32</f>
        <v/>
      </c>
    </row>
    <row r="35">
      <c r="A35" s="3" t="inlineStr">
        <is>
          <t>Report's planning range (Closure_Model offset basis)</t>
        </is>
      </c>
      <c r="B35" s="2" t="inlineStr">
        <is>
          <t>Between $75,000 and $200,000</t>
        </is>
      </c>
    </row>
    <row r="36">
      <c r="A36" s="21" t="inlineStr">
        <is>
          <t>The bottom-up estimate lands inside the planning range; the $137,500 midpoint used in the Closure_Model stands.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5">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18">
        <f>Assumptions!B42</f>
        <v/>
      </c>
    </row>
    <row r="49">
      <c r="A49" s="3" t="inlineStr">
        <is>
          <t>Average Daily Attendance, FY2025</t>
        </is>
      </c>
      <c r="B49" s="28"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18">
        <f>Assumptions!B42*Assumptions!B43</f>
        <v/>
      </c>
    </row>
    <row r="52">
      <c r="A52" s="3" t="inlineStr"/>
      <c r="B52" s="18">
        <f>Assumptions!B42*Assumptions!B44</f>
        <v/>
      </c>
    </row>
    <row r="54">
      <c r="A54" s="4" t="inlineStr">
        <is>
          <t>ACTUAL DISTANCES, COMPUTED FROM THE OFFICIAL ZONE GEOMETRY (build/zone_distances.py)</t>
        </is>
      </c>
    </row>
    <row r="55">
      <c r="A55" s="3" t="inlineStr">
        <is>
          <t>Straight-line, NMES to the Paris schools (miles)</t>
        </is>
      </c>
      <c r="B55" s="28" t="n">
        <v>8.871</v>
      </c>
      <c r="C55" s="2" t="inlineStr">
        <is>
          <t>Great-circle between the school points; unrounded so derived cells match build/zone_distances.json</t>
        </is>
      </c>
    </row>
    <row r="56">
      <c r="A56" s="3" t="inlineStr">
        <is>
          <t>Measured road distance, US 460 (miles)</t>
        </is>
      </c>
      <c r="B56" s="28" t="n">
        <v>10</v>
      </c>
      <c r="C56" s="2" t="inlineStr">
        <is>
          <t>The one pair that can be measured exactly</t>
        </is>
      </c>
    </row>
    <row r="57">
      <c r="A57" s="3" t="inlineStr">
        <is>
          <t>Implied road factor on the measured pair</t>
        </is>
      </c>
      <c r="B57" s="29">
        <f>B56/B55</f>
        <v/>
      </c>
    </row>
    <row r="58">
      <c r="A58" s="3" t="inlineStr">
        <is>
          <t>Road factor applied elsewhere (the measured US 460 pair implies 1.13)</t>
        </is>
      </c>
      <c r="B58" s="27" t="n">
        <v>1.2</v>
      </c>
    </row>
    <row r="59">
      <c r="A59" s="3" t="inlineStr">
        <is>
          <t>Area-average added distance under closure, one way, straight-line</t>
        </is>
      </c>
      <c r="B59" s="28" t="n">
        <v>3.271</v>
      </c>
      <c r="C59" s="2" t="inlineStr">
        <is>
          <t>Grid average over the official NMES zone (812 sample points); unrounded input, displays to one decimal</t>
        </is>
      </c>
    </row>
    <row r="60">
      <c r="A60" s="3" t="inlineStr">
        <is>
          <t>Area-average added distance, road</t>
        </is>
      </c>
      <c r="B60" s="20">
        <f>B59*B58</f>
        <v/>
      </c>
    </row>
    <row r="61">
      <c r="A61" s="3" t="inlineStr">
        <is>
          <t>Farthest corner of the zone, straight-line to Paris / to NMES</t>
        </is>
      </c>
      <c r="B61" s="28" t="n">
        <v>15.1</v>
      </c>
      <c r="C61" s="2" t="inlineStr">
        <is>
          <t>8.3 miles to NMES; near the Nicholas County line</t>
        </is>
      </c>
    </row>
    <row r="62">
      <c r="A62" s="3" t="inlineStr">
        <is>
          <t>Farthest corner by road: to Paris / to NMES (miles)</t>
        </is>
      </c>
      <c r="B62" s="26">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4"/>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17" t="inlineStr">
        <is>
          <t>Measure</t>
        </is>
      </c>
      <c r="B3" s="17" t="inlineStr">
        <is>
          <t>Low ($/yr)</t>
        </is>
      </c>
      <c r="C3" s="17" t="inlineStr">
        <is>
          <t>High ($/yr)</t>
        </is>
      </c>
      <c r="D3" s="17" t="inlineStr">
        <is>
          <t>Basis</t>
        </is>
      </c>
      <c r="E3" s="17" t="inlineStr">
        <is>
          <t>Type</t>
        </is>
      </c>
      <c r="F3" s="17" t="inlineStr">
        <is>
          <t>Confidence / what firms it up</t>
        </is>
      </c>
    </row>
    <row r="4">
      <c r="A4" s="3" t="inlineStr">
        <is>
          <t>4% property-tax adjustment (KRS 160.470)</t>
        </is>
      </c>
      <c r="B4" s="18">
        <f>Tax_History!B50</f>
        <v/>
      </c>
      <c r="C4" s="8" t="n">
        <v>375000</v>
      </c>
      <c r="D4" s="2" t="inlineStr">
        <is>
          <t>Low = year-one 4% option on the General Fund levied base (matches the levy analysis); high allows base growth</t>
        </is>
      </c>
      <c r="E4" s="2" t="inlineStr">
        <is>
          <t>New revenue</t>
        </is>
      </c>
      <c r="F4" s="2" t="inlineStr">
        <is>
          <t>High; board authority every August, no recall exposure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18">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18">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18">
        <f>Assumptions!B42*Assumptions!B43</f>
        <v/>
      </c>
      <c r="C9" s="18">
        <f>Assumptions!B42*Assumptions!B44</f>
        <v/>
      </c>
      <c r="D9" s="2" t="inlineStr">
        <is>
          <t>5-10% of FY2025 transport expense</t>
        </is>
      </c>
      <c r="E9" s="2" t="inlineStr">
        <is>
          <t>Cost reduction</t>
        </is>
      </c>
      <c r="F9" s="2" t="inlineStr">
        <is>
          <t>Medium; needs a local route model (T-1 data requested)</t>
        </is>
      </c>
    </row>
    <row r="10">
      <c r="A10" s="3" t="inlineStr">
        <is>
          <t>Medicaid billing, E-rate, meal reimbursements</t>
        </is>
      </c>
      <c r="B10" s="8" t="n">
        <v>100000</v>
      </c>
      <c r="C10" s="8" t="n">
        <v>250000</v>
      </c>
      <c r="D10" s="2" t="inlineStr">
        <is>
          <t>Typical under-collected federal reimbursements</t>
        </is>
      </c>
      <c r="E10" s="2" t="inlineStr">
        <is>
          <t>New revenue</t>
        </is>
      </c>
      <c r="F10" s="2" t="inlineStr">
        <is>
          <t>Low; needs evidence current claims are being missed</t>
        </is>
      </c>
    </row>
    <row r="11">
      <c r="A11" s="3" t="inlineStr">
        <is>
          <t>Energy performance contracting</t>
        </is>
      </c>
      <c r="B11" s="8" t="n">
        <v>50000</v>
      </c>
      <c r="C11" s="8" t="n">
        <v>150000</v>
      </c>
      <c r="D11" s="2" t="inlineStr">
        <is>
          <t>10-25% of utilities; authorized by 702 KAR 4:160</t>
        </is>
      </c>
      <c r="E11" s="2" t="inlineStr">
        <is>
          <t>Cost reduction</t>
        </is>
      </c>
      <c r="F11" s="2" t="inlineStr">
        <is>
          <t>Medium; contracts are structured to self-fund</t>
        </is>
      </c>
    </row>
    <row r="12">
      <c r="A12" s="3" t="inlineStr">
        <is>
          <t>Shared services with Paris Independent</t>
        </is>
      </c>
      <c r="B12" s="8" t="n">
        <v>100000</v>
      </c>
      <c r="C12" s="8" t="n">
        <v>300000</v>
      </c>
      <c r="D12" s="2" t="inlineStr">
        <is>
          <t>Transport, food service, back office</t>
        </is>
      </c>
      <c r="E12" s="2" t="inlineStr">
        <is>
          <t>Cost reduction</t>
        </is>
      </c>
      <c r="F12" s="2" t="inlineStr">
        <is>
          <t>Low; needs an interlocal feasibility study</t>
        </is>
      </c>
    </row>
    <row r="13">
      <c r="A13" s="3" t="inlineStr">
        <is>
          <t>Fill NMES to capacity (rebalance + transfers, net)</t>
        </is>
      </c>
      <c r="B13" s="18">
        <f>Redistricting!B30</f>
        <v/>
      </c>
      <c r="C13" s="18">
        <f>Redistricting!B31</f>
        <v/>
      </c>
      <c r="D13" s="2" t="inlineStr">
        <is>
          <t>Boundary rebalancing and cross-county scenario, Redistricting tab</t>
        </is>
      </c>
      <c r="E13" s="2" t="inlineStr">
        <is>
          <t>New revenue, net of costs</t>
        </is>
      </c>
      <c r="F13" s="2" t="inlineStr">
        <is>
          <t>High; board boundary authority, math on Redistricting tab</t>
        </is>
      </c>
    </row>
    <row r="14">
      <c r="A14" s="22" t="inlineStr">
        <is>
          <t>Total identified (ranges overlap; not additive to the penny)</t>
        </is>
      </c>
      <c r="B14" s="24">
        <f>SUM(B4:B13)</f>
        <v/>
      </c>
      <c r="C14" s="24">
        <f>SUM(C4:C13)</f>
        <v/>
      </c>
    </row>
    <row r="16">
      <c r="A16" s="4" t="inlineStr">
        <is>
          <t>COMPARISON</t>
        </is>
      </c>
    </row>
    <row r="17">
      <c r="A17" s="3" t="inlineStr">
        <is>
          <t>Package midpoint (raw sum of ranges)</t>
        </is>
      </c>
      <c r="B17" s="9">
        <f>(B14+C14)/2</f>
        <v/>
      </c>
    </row>
    <row r="18">
      <c r="A18" s="3" t="inlineStr">
        <is>
          <t>Conservative combined estimate, low (haircut for overlap)</t>
        </is>
      </c>
      <c r="B18" s="14" t="n">
        <v>1100000</v>
      </c>
    </row>
    <row r="19">
      <c r="A19" s="3" t="inlineStr">
        <is>
          <t>Conservative combined estimate, high</t>
        </is>
      </c>
      <c r="B19" s="14" t="n">
        <v>2100000</v>
      </c>
    </row>
    <row r="20">
      <c r="A20" s="3" t="inlineStr">
        <is>
          <t>Conservative midpoint (used in Runway sheet)</t>
        </is>
      </c>
      <c r="B20" s="9">
        <f>(B18+B19)/2</f>
        <v/>
      </c>
    </row>
    <row r="21">
      <c r="A21" s="3" t="inlineStr">
        <is>
          <t>Average annual GF drawdown (FY2024-25)</t>
        </is>
      </c>
      <c r="B21" s="18">
        <f>GF_Summary!D16</f>
        <v/>
      </c>
    </row>
    <row r="22">
      <c r="A22" s="3" t="inlineStr">
        <is>
          <t>Closure net saving (base case)</t>
        </is>
      </c>
      <c r="B22" s="18">
        <f>Closure_Model!B20</f>
        <v/>
      </c>
    </row>
    <row r="24">
      <c r="A24" s="21" t="inlineStr">
        <is>
          <t>Reading: raw row sums run about $1.6M to $2.8M; the published $1.1M to $2.1M band applies a conservative haircut for overlap and implementation risk. Coverage is reported against both yardsticks: the $2.65M structural gap before transfers and the roughly $1.15M net drawdown after transfers (Closure_Model rows 21 and 35 carry both for closure).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09"/>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17" t="inlineStr">
        <is>
          <t>Series</t>
        </is>
      </c>
      <c r="B4" s="17" t="inlineStr">
        <is>
          <t>Original</t>
        </is>
      </c>
      <c r="C4" s="17" t="inlineStr">
        <is>
          <t>Rate</t>
        </is>
      </c>
      <c r="D4" s="17" t="inlineStr">
        <is>
          <t>Maturity</t>
        </is>
      </c>
      <c r="E4" s="17" t="inlineStr">
        <is>
          <t>Outstanding 6/30/25</t>
        </is>
      </c>
      <c r="F4" s="17"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2" t="inlineStr">
        <is>
          <t>Total</t>
        </is>
      </c>
      <c r="B12" s="24">
        <f>SUM(B5:B11)</f>
        <v/>
      </c>
      <c r="E12" s="24">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28"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18">
        <f>Tax_History!B33</f>
        <v/>
      </c>
    </row>
    <row r="26">
      <c r="A26" s="3" t="inlineStr">
        <is>
          <t>District-paid debt service, FY2026</t>
        </is>
      </c>
      <c r="B26" s="8" t="n">
        <v>1578700</v>
      </c>
    </row>
    <row r="27">
      <c r="A27" s="3" t="inlineStr">
        <is>
          <t>Annual restricted margin available for new debt (illustrative)</t>
        </is>
      </c>
      <c r="B27" s="30">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row r="37">
      <c r="A37" s="4" t="inlineStr">
        <is>
          <t>THE $14 MILLION PLAN (JULY 15, 2026 PLANNING COMMITTEE)</t>
        </is>
      </c>
    </row>
    <row r="38">
      <c r="A38" s="2" t="inlineStr">
        <is>
          <t>Stated plan: free up $800,000 to $1,000,000 a year of operating money to bond $14 million</t>
        </is>
      </c>
    </row>
    <row r="39">
      <c r="A39" s="3" t="inlineStr">
        <is>
          <t>Proposed bond amount</t>
        </is>
      </c>
      <c r="B39" s="8" t="n">
        <v>14000000</v>
      </c>
    </row>
    <row r="40">
      <c r="A40" s="3" t="inlineStr">
        <is>
          <t>Assumed interest rate</t>
        </is>
      </c>
      <c r="B40" s="13" t="n">
        <v>0.045</v>
      </c>
    </row>
    <row r="41">
      <c r="A41" s="3" t="inlineStr">
        <is>
          <t>Assumed term, years</t>
        </is>
      </c>
      <c r="B41" s="31" t="n">
        <v>20</v>
      </c>
    </row>
    <row r="42">
      <c r="A42" s="3" t="inlineStr">
        <is>
          <t>Annual debt service on the proposed bond</t>
        </is>
      </c>
      <c r="B42" s="30">
        <f>B39*B40/(1-(1+B40)^-B41)</f>
        <v/>
      </c>
      <c r="F42" s="21" t="inlineStr">
        <is>
          <t>Payment is approximately the operating amount the plan frees up; compare the savings scenarios below</t>
        </is>
      </c>
    </row>
    <row r="44">
      <c r="A44" s="4" t="inlineStr">
        <is>
          <t>WHAT EACH SAVINGS ESTIMATE COULD ACTUALLY BOND</t>
        </is>
      </c>
    </row>
    <row r="45">
      <c r="A45" s="2" t="inlineStr">
        <is>
          <t>Bond principal supported = annual savings x present-value annuity factor at the rate and term above</t>
        </is>
      </c>
    </row>
    <row r="46">
      <c r="A46" s="3" t="inlineStr">
        <is>
          <t>District's own KDE-filed excess cost of NMES vs peer elementaries</t>
        </is>
      </c>
      <c r="B46" s="8" t="n">
        <v>121220</v>
      </c>
      <c r="C46" s="9">
        <f>B46*(1-(1+B$40)^-B$41)/B$40</f>
        <v/>
      </c>
      <c r="F46" s="21" t="inlineStr">
        <is>
          <t>Matches the closure model's worst case</t>
        </is>
      </c>
    </row>
    <row r="47">
      <c r="A47" s="3" t="inlineStr">
        <is>
          <t>Closure model default net saving</t>
        </is>
      </c>
      <c r="B47" s="8" t="n">
        <v>361240</v>
      </c>
      <c r="C47" s="9">
        <f>B47*(1-(1+B$40)^-B$41)/B$40</f>
        <v/>
      </c>
      <c r="F47" s="21" t="inlineStr">
        <is>
          <t>Closure_Model tab</t>
        </is>
      </c>
    </row>
    <row r="48">
      <c r="A48" s="3" t="inlineStr">
        <is>
          <t>Closure model best case</t>
        </is>
      </c>
      <c r="B48" s="8" t="n">
        <v>725000</v>
      </c>
      <c r="C48" s="9">
        <f>B48*(1-(1+B$40)^-B$41)/B$40</f>
        <v/>
      </c>
      <c r="F48" s="21" t="inlineStr">
        <is>
          <t>Closure_Model tab</t>
        </is>
      </c>
    </row>
    <row r="49">
      <c r="A49" s="3" t="inlineStr">
        <is>
          <t>Administration's claim, July 15, 2026</t>
        </is>
      </c>
      <c r="B49" s="8" t="n">
        <v>900000</v>
      </c>
      <c r="C49" s="9">
        <f>B49*(1-(1+B$40)^-B$41)/B$40</f>
        <v/>
      </c>
      <c r="F49" s="21" t="inlineStr">
        <is>
          <t>Unpublished derivation; reconcile with KDE-filed school-level spending</t>
        </is>
      </c>
    </row>
    <row r="50">
      <c r="A50" s="2" t="inlineStr">
        <is>
          <t>Only the administration's own number reaches $14 million. The audited excess cost supports about $1.6 million.</t>
        </is>
      </c>
    </row>
    <row r="52">
      <c r="A52" s="4" t="inlineStr">
        <is>
          <t>DISTRICT-PAID DEBT SERVICE SCHEDULE (FY2025 AUDIT, NOTE 4)</t>
        </is>
      </c>
    </row>
    <row r="53">
      <c r="A53" s="2" t="inlineStr">
        <is>
          <t>Payments fall as the 2013, 2016, and 2020 series retire; this falling schedule is the room a wrap-around structure fills</t>
        </is>
      </c>
    </row>
    <row r="54">
      <c r="A54" s="3" t="inlineStr">
        <is>
          <t>FY2026</t>
        </is>
      </c>
      <c r="B54" s="8" t="n">
        <v>1578700</v>
      </c>
    </row>
    <row r="55">
      <c r="A55" s="3" t="inlineStr">
        <is>
          <t>FY2027</t>
        </is>
      </c>
      <c r="B55" s="8" t="n">
        <v>1575060</v>
      </c>
    </row>
    <row r="56">
      <c r="A56" s="3" t="inlineStr">
        <is>
          <t>FY2028</t>
        </is>
      </c>
      <c r="B56" s="8" t="n">
        <v>1578719</v>
      </c>
    </row>
    <row r="57">
      <c r="A57" s="3" t="inlineStr">
        <is>
          <t>FY2029</t>
        </is>
      </c>
      <c r="B57" s="8" t="n">
        <v>1577258</v>
      </c>
    </row>
    <row r="58">
      <c r="A58" s="3" t="inlineStr">
        <is>
          <t>FY2030</t>
        </is>
      </c>
      <c r="B58" s="8" t="n">
        <v>1578340</v>
      </c>
    </row>
    <row r="59">
      <c r="A59" s="3" t="inlineStr">
        <is>
          <t>FY2031-35 average</t>
        </is>
      </c>
      <c r="B59" s="8" t="n">
        <v>1321112</v>
      </c>
    </row>
    <row r="60">
      <c r="A60" s="3" t="inlineStr">
        <is>
          <t>FY2036-40 average</t>
        </is>
      </c>
      <c r="B60" s="8" t="n">
        <v>398915</v>
      </c>
    </row>
    <row r="61">
      <c r="A61" s="3" t="inlineStr">
        <is>
          <t>FY2041-45 average</t>
        </is>
      </c>
      <c r="B61" s="8" t="n">
        <v>260708</v>
      </c>
    </row>
    <row r="63">
      <c r="A63" s="4" t="inlineStr">
        <is>
          <t>THE LEVERS THAT DO NOT CLOSE A SCHOOL</t>
        </is>
      </c>
    </row>
    <row r="64">
      <c r="A64" s="3" t="inlineStr">
        <is>
          <t>Remaining restricted capacity (FY2024 audit $23.5M less local share of the 2024 issue, approximate)</t>
        </is>
      </c>
      <c r="B64" s="8" t="n">
        <v>17600000</v>
      </c>
      <c r="F64" s="21" t="inlineStr">
        <is>
          <t>Exact figure is the fiscal agent's bonding potential statement; demand it</t>
        </is>
      </c>
    </row>
    <row r="65">
      <c r="A65" s="3" t="inlineStr">
        <is>
          <t>Certified real and personal property assessment, FY2025</t>
        </is>
      </c>
      <c r="B65" s="8" t="n">
        <v>1843569625</v>
      </c>
    </row>
    <row r="66">
      <c r="A66" s="3" t="inlineStr">
        <is>
          <t>Recallable nickel status: ALREADY LEVIED August 17, 2023, inside the existing rate</t>
        </is>
      </c>
      <c r="B66" s="2" t="inlineStr">
        <is>
          <t>levied</t>
        </is>
      </c>
      <c r="F66" s="21" t="inlineStr">
        <is>
          <t>KDE Nickel Levy Chart (March 2024) dates Bourbon's recallable levy 8/17/2023; KDE's levied-rates file (April 30, 2026) decomposes the 52.4-cent rate as 41.0 general fund + 5.7 FSPK + 5.7 recallable. Paris Independent, for scale: 71.5 cents with 17.4 recallable</t>
        </is>
      </c>
    </row>
    <row r="67">
      <c r="A67" s="3" t="inlineStr">
        <is>
          <t>New annual state equalization on the recallable nickel (full value, FY2027 schedule)</t>
        </is>
      </c>
      <c r="B67" s="8" t="n">
        <v>276246</v>
      </c>
      <c r="F67" s="21" t="inlineStr">
        <is>
          <t>Phasing in on KDE SEEK schedules: $82,866 FY2025, $55,515 FY2026, $276,246 FY2027. New restricted revenue, no board action required</t>
        </is>
      </c>
    </row>
    <row r="68">
      <c r="A68" s="3" t="inlineStr">
        <is>
          <t>Bonds the new equalization alone supports</t>
        </is>
      </c>
      <c r="B68" s="9">
        <f>B67*(1-(1+B40)^-B41)/B40</f>
        <v/>
      </c>
      <c r="F68" s="21" t="inlineStr">
        <is>
          <t>Additive to the FY2024 audit's bonding potential, which predates the equalization</t>
        </is>
      </c>
    </row>
    <row r="69">
      <c r="A69" s="3" t="inlineStr">
        <is>
          <t>SFCC offers of assistance, typical cycle</t>
        </is>
      </c>
      <c r="B69" s="8" t="n">
        <v>1750000</v>
      </c>
      <c r="F69" s="21" t="inlineStr">
        <is>
          <t>State already pays $1,568,809 of current principal</t>
        </is>
      </c>
    </row>
    <row r="71">
      <c r="A71" s="4" t="inlineStr">
        <is>
          <t>FY2026 YEAR-END, DISTRICT'S OWN KDE BUDGET MONITORING TOOL (UNAUDITED)</t>
        </is>
      </c>
    </row>
    <row r="72">
      <c r="A72" s="2" t="inlineStr">
        <is>
          <t>June 2026 financial packet, board agenda July 16, 2026; MUNIS run July 15, 2026. Audit will finalize these figures.</t>
        </is>
      </c>
    </row>
    <row r="73">
      <c r="A73" s="3" t="inlineStr">
        <is>
          <t>General Fund revenue, FY2026 actual (excludes carryforward and on-behalf)</t>
        </is>
      </c>
      <c r="B73" s="8" t="n">
        <v>22103877</v>
      </c>
    </row>
    <row r="74">
      <c r="A74" s="3" t="inlineStr">
        <is>
          <t>General Fund expenditures, FY2026 actual</t>
        </is>
      </c>
      <c r="B74" s="8" t="n">
        <v>22477866</v>
      </c>
    </row>
    <row r="75">
      <c r="A75" s="3" t="inlineStr">
        <is>
          <t>Net General Fund change, FY2026 (unaudited)</t>
        </is>
      </c>
      <c r="B75" s="30">
        <f>B73-B74</f>
        <v/>
      </c>
      <c r="F75" s="21" t="inlineStr">
        <is>
          <t>Compare net changes of -$1,065,657 in FY2024 and -$1,225,465 in FY2025 (audited)</t>
        </is>
      </c>
    </row>
    <row r="76">
      <c r="A76" s="3" t="inlineStr">
        <is>
          <t>Revenues over budget per the monitoring tool</t>
        </is>
      </c>
      <c r="B76" s="8" t="n">
        <v>2225835</v>
      </c>
    </row>
    <row r="77">
      <c r="A77" s="3" t="inlineStr">
        <is>
          <t>Salaries under budget per the monitoring tool</t>
        </is>
      </c>
      <c r="B77" s="8" t="n">
        <v>587592</v>
      </c>
    </row>
    <row r="78">
      <c r="A78" s="3" t="inlineStr">
        <is>
          <t>Salaries below FY2025 actuals</t>
        </is>
      </c>
      <c r="B78" s="8" t="n">
        <v>223974</v>
      </c>
    </row>
    <row r="79">
      <c r="A79" s="3" t="inlineStr">
        <is>
          <t>Caveat 1: miscellaneous revenue (object 1990) budgeted at zero, received</t>
        </is>
      </c>
      <c r="B79" s="8" t="n">
        <v>1567829</v>
      </c>
      <c r="F79" s="21" t="inlineStr">
        <is>
          <t>Unbudgeted even in the final amended budget; the district should identify this receipt on the record</t>
        </is>
      </c>
    </row>
    <row r="80">
      <c r="A80" s="3" t="inlineStr">
        <is>
          <t xml:space="preserve">  of which booked in June (period 12) alone</t>
        </is>
      </c>
      <c r="B80" s="8" t="n">
        <v>1413929</v>
      </c>
      <c r="F80" s="21" t="inlineStr">
        <is>
          <t>Months 1-11 produced $153,900 combined, a normal run rate; the balance sheet shows no receivable behind the June entry</t>
        </is>
      </c>
    </row>
    <row r="81">
      <c r="A81" s="3" t="inlineStr">
        <is>
          <t>Caveat 2: restricted capital money transferred INTO the General Fund in June 2026</t>
        </is>
      </c>
      <c r="B81" s="8" t="n">
        <v>1320939</v>
      </c>
      <c r="F81" s="21" t="inlineStr">
        <is>
          <t>Object 5210: $1,098,633 from the Building Fund (320) + $222,276 from Capital Outlay (310), which ended the year at $0. Lawful under budget-act capital funds flexibility; budgeted from September 2025</t>
        </is>
      </c>
    </row>
    <row r="82">
      <c r="A82" s="3" t="inlineStr">
        <is>
          <t>Net change excluding the capital transfer</t>
        </is>
      </c>
      <c r="B82" s="9">
        <f>B73-B74-B81</f>
        <v/>
      </c>
      <c r="F82" s="21" t="inlineStr">
        <is>
          <t>About -$1.69 million: the operating result on operating revenue alone</t>
        </is>
      </c>
    </row>
    <row r="83">
      <c r="A83" s="3" t="inlineStr">
        <is>
          <t>Net change excluding the transfer and the unidentified June receipt</t>
        </is>
      </c>
      <c r="B83" s="9">
        <f>B73-B74-B81-B80</f>
        <v/>
      </c>
      <c r="F83" s="21" t="inlineStr">
        <is>
          <t>About -$3.11 million: the same range as the audited years</t>
        </is>
      </c>
    </row>
    <row r="84">
      <c r="A84" s="3" t="inlineStr">
        <is>
          <t>June 2026 General Fund revenue vs June 2025 (district's monitoring tool)</t>
        </is>
      </c>
      <c r="B84" s="8" t="n">
        <v>3923096</v>
      </c>
      <c r="C84" s="8" t="n">
        <v>1130736</v>
      </c>
      <c r="F84" s="21" t="inlineStr">
        <is>
          <t>The two June entries above are 98 percent of the year-over-year June difference</t>
        </is>
      </c>
    </row>
    <row r="85">
      <c r="A85" s="3" t="inlineStr">
        <is>
          <t>Variance identity from the packet: projected fund balance reconciles to the dollar</t>
        </is>
      </c>
      <c r="B85" s="9">
        <f>1489853+2225835+587592-224087</f>
        <v/>
      </c>
      <c r="F85" s="21" t="inlineStr">
        <is>
          <t>Contingency + revenue over budget + salary savings - expense overrun = $4,079,193, the tool's projected balance. The June misc entry is 63 percent of the revenue beat</t>
        </is>
      </c>
    </row>
    <row r="86">
      <c r="A86" s="4" t="inlineStr">
        <is>
          <t>BUILDING FUND FLOWS, FY2026 (fund 320, same packet)</t>
        </is>
      </c>
    </row>
    <row r="87">
      <c r="A87" s="3" t="inlineStr">
        <is>
          <t>Building Fund transfers out, FY2026 total</t>
        </is>
      </c>
      <c r="B87" s="8" t="n">
        <v>2481394</v>
      </c>
    </row>
    <row r="88">
      <c r="A88" s="3" t="inlineStr">
        <is>
          <t xml:space="preserve">  to Debt Service (fund 400)</t>
        </is>
      </c>
      <c r="B88" s="8" t="n">
        <v>1382761</v>
      </c>
    </row>
    <row r="89">
      <c r="A89" s="3" t="inlineStr">
        <is>
          <t xml:space="preserve">  to the General Fund (June 2026)</t>
        </is>
      </c>
      <c r="B89" s="9">
        <f>B87-B88</f>
        <v/>
      </c>
      <c r="F89" s="21" t="inlineStr">
        <is>
          <t>The residual after debt service. This is the restricted stream a $14 million bond would lean on; in FY2026 it plugged the operating budget instead</t>
        </is>
      </c>
    </row>
    <row r="90">
      <c r="A90" s="3" t="inlineStr">
        <is>
          <t>Bond capacity that residual supports at the same rate and term</t>
        </is>
      </c>
      <c r="B90" s="9">
        <f>B89*(1-(1+B40)^-B41)/B40</f>
        <v/>
      </c>
      <c r="F90" s="21" t="inlineStr">
        <is>
          <t>About $14 million: the plan's own target, carried by restricted money. The closure's role is only to replace the sweep, and any recurring million dollars does that</t>
        </is>
      </c>
    </row>
    <row r="92">
      <c r="A92" s="4" t="inlineStr">
        <is>
          <t>SCENARIO: BALANCE THE BUDGET AND EXPAND BONDING CAPACITY, NO CLOSURE</t>
        </is>
      </c>
    </row>
    <row r="93">
      <c r="A93" s="2" t="inlineStr">
        <is>
          <t>Two cases differ only in the operating gap assumed. Conservative treats the FY2026 $1.57M receipt as one-time;</t>
        </is>
      </c>
    </row>
    <row r="94">
      <c r="A94" s="2" t="inlineStr">
        <is>
          <t>trend uses the unaudited FY2026 net change. Operations are balanced first; only the remainder services debt.</t>
        </is>
      </c>
    </row>
    <row r="95">
      <c r="B95" s="17" t="inlineStr">
        <is>
          <t>Conservative</t>
        </is>
      </c>
      <c r="C95" s="17" t="inlineStr">
        <is>
          <t>FY2026 trend</t>
        </is>
      </c>
    </row>
    <row r="96">
      <c r="A96" s="3" t="inlineStr">
        <is>
          <t>Operating gap to close first</t>
        </is>
      </c>
      <c r="B96" s="8" t="n">
        <v>1900000</v>
      </c>
      <c r="C96" s="8" t="n">
        <v>373989</v>
      </c>
      <c r="F96" s="21" t="inlineStr">
        <is>
          <t>Editable. $1.9M = FY2026 result excluding the unidentified receipt; $373,989 = FY2026 unaudited net change</t>
        </is>
      </c>
    </row>
    <row r="97">
      <c r="A97" s="3" t="inlineStr">
        <is>
          <t>New recurring revenue: 4 percent levy taken three years running</t>
        </is>
      </c>
      <c r="B97" s="18">
        <f>Tax_History!B32*(1.04^3-1)</f>
        <v/>
      </c>
      <c r="C97" s="18">
        <f>Tax_History!B32*(1.04^3-1)</f>
        <v/>
      </c>
      <c r="F97" s="21" t="inlineStr">
        <is>
          <t>Same base and compounding as the levy tab; year 1 is $313,162, year 3 cumulative $977,568</t>
        </is>
      </c>
    </row>
    <row r="98">
      <c r="A98" s="3" t="inlineStr">
        <is>
          <t>Recurring cost reductions, not from closing a school</t>
        </is>
      </c>
      <c r="B98" s="8" t="n">
        <v>1000000</v>
      </c>
      <c r="C98" s="8" t="n">
        <v>1000000</v>
      </c>
      <c r="F98" s="21" t="inlineStr">
        <is>
          <t>Editable. For scale from the FY2025 audit: district administration grew $221K in one year, salaries fell $224K through attrition, spending ran $859K under budget</t>
        </is>
      </c>
    </row>
    <row r="99">
      <c r="A99" s="3" t="inlineStr">
        <is>
          <t>Operating room left for debt service after the budget balances</t>
        </is>
      </c>
      <c r="B99" s="9">
        <f>MAX(0,B97+B98-B96)</f>
        <v/>
      </c>
      <c r="C99" s="9">
        <f>MAX(0,C97+C98-C96)</f>
        <v/>
      </c>
    </row>
    <row r="100">
      <c r="A100" s="3" t="inlineStr">
        <is>
          <t>General-fund bond capacity from that room</t>
        </is>
      </c>
      <c r="B100" s="9">
        <f>B99*(1-(1+B$40)^-B$41)/B$40</f>
        <v/>
      </c>
      <c r="C100" s="9">
        <f>C99*(1-(1+B$40)^-B$41)/B$40</f>
        <v/>
      </c>
    </row>
    <row r="101">
      <c r="A101" s="3" t="inlineStr">
        <is>
          <t>New state equalization on the already-levied recallable nickel</t>
        </is>
      </c>
      <c r="B101" s="8" t="n">
        <v>276246</v>
      </c>
      <c r="C101" s="8" t="n">
        <v>276246</v>
      </c>
      <c r="F101" s="21" t="inlineStr">
        <is>
          <t>FY2027 SEEK schedule; the recallable nickel itself is already levied and its local yield is already inside the building-fund stream above</t>
        </is>
      </c>
    </row>
    <row r="102">
      <c r="A102" s="3" t="inlineStr">
        <is>
          <t>Bond capacity from the new equalization</t>
        </is>
      </c>
      <c r="B102" s="9">
        <f>B101*(1-(1+B$40)^-B$41)/B$40</f>
        <v/>
      </c>
      <c r="C102" s="9">
        <f>C101*(1-(1+B$40)^-B$41)/B$40</f>
        <v/>
      </c>
    </row>
    <row r="103">
      <c r="A103" s="3" t="inlineStr">
        <is>
          <t>Existing unused restricted capacity, approximate</t>
        </is>
      </c>
      <c r="B103" s="8" t="n">
        <v>17600000</v>
      </c>
      <c r="C103" s="8" t="n">
        <v>17600000</v>
      </c>
      <c r="F103" s="21" t="inlineStr">
        <is>
          <t>FY2024 audit $23.5M less local share of the 2024 issue; fiscal agent's statement is the authority</t>
        </is>
      </c>
    </row>
    <row r="104">
      <c r="A104" s="22" t="inlineStr">
        <is>
          <t>Total capacity available without closing a school</t>
        </is>
      </c>
      <c r="B104" s="24">
        <f>B100+B102+B103</f>
        <v/>
      </c>
      <c r="C104" s="24">
        <f>C100+C102+C103</f>
        <v/>
      </c>
    </row>
    <row r="105">
      <c r="A105" s="2" t="inlineStr">
        <is>
          <t>Roughly $22.2 million in the conservative case and $42.1 million on the FY2026 trend, with the budget balanced</t>
        </is>
      </c>
    </row>
    <row r="106">
      <c r="A106" s="2" t="inlineStr">
        <is>
          <t>first in both. The administration's plan reaches $32 million at face value and leaves the deficit in place.</t>
        </is>
      </c>
    </row>
    <row r="107">
      <c r="A107" s="2" t="inlineStr">
        <is>
          <t>Floor check: even with zero general-fund room, the restricted capacity plus new equalization alone are about $21 million.</t>
        </is>
      </c>
    </row>
    <row r="108">
      <c r="A108" s="2" t="inlineStr">
        <is>
          <t>Pledging the building-fund residual to new bonds requires ending the capital-to-operations sweep documented above,</t>
        </is>
      </c>
    </row>
    <row r="109">
      <c r="A109" s="2" t="inlineStr">
        <is>
          <t>which is exactly what the administration's plan implies; the only question is which recurring million replaces it.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17" t="inlineStr">
        <is>
          <t>Projected ending General Fund balance</t>
        </is>
      </c>
      <c r="B4" s="17" t="inlineStr">
        <is>
          <t>FY2026</t>
        </is>
      </c>
      <c r="C4" s="17" t="inlineStr">
        <is>
          <t>FY2027</t>
        </is>
      </c>
      <c r="D4" s="17" t="inlineStr">
        <is>
          <t>FY2028</t>
        </is>
      </c>
      <c r="E4" s="17"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B6-GF_Summary!$D$16+0.5*Alternatives!$B$21</f>
        <v/>
      </c>
      <c r="D6" s="9">
        <f>C6-GF_Summary!$D$16+Alternatives!$B$21</f>
        <v/>
      </c>
      <c r="E6" s="9">
        <f>D6-GF_Summary!$D$16+Alternatives!$B$21</f>
        <v/>
      </c>
    </row>
    <row r="7">
      <c r="A7" s="3" t="inlineStr">
        <is>
          <t>Closure only (base-case net saving from FY2027)</t>
        </is>
      </c>
      <c r="B7" s="9">
        <f>GF_Summary!D9-GF_Summary!$D$16</f>
        <v/>
      </c>
      <c r="C7" s="9">
        <f>B7-GF_Summary!$D$16+Closure_Model!$B$20</f>
        <v/>
      </c>
      <c r="D7" s="9">
        <f>C7-GF_Summary!$D$16+Closure_Model!$B$20</f>
        <v/>
      </c>
      <c r="E7" s="9">
        <f>D7-GF_Summary!$D$16+Closure_Model!$B$20</f>
        <v/>
      </c>
    </row>
    <row r="8">
      <c r="A8" s="3" t="inlineStr">
        <is>
          <t>2% contingency floor (approx., FY2025 basis)</t>
        </is>
      </c>
      <c r="B8" s="18">
        <f>GF_Summary!$D$14</f>
        <v/>
      </c>
      <c r="C8" s="18">
        <f>GF_Summary!$D$14</f>
        <v/>
      </c>
      <c r="D8" s="18">
        <f>GF_Summary!$D$14</f>
        <v/>
      </c>
      <c r="E8" s="18">
        <f>GF_Summary!$D$14</f>
        <v/>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Three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 Coverage percentages use the $2.65M before-transfers gap; these balance projections use the net drawdown after transfers.</t>
        </is>
      </c>
    </row>
    <row r="4">
      <c r="A4" s="17" t="inlineStr">
        <is>
          <t>Plan</t>
        </is>
      </c>
      <c r="B4" s="17" t="inlineStr">
        <is>
          <t>Recurring GF impact ($/yr, by yr 3)</t>
        </is>
      </c>
      <c r="C4" s="17" t="inlineStr">
        <is>
          <t>Projected FY2029 balance</t>
        </is>
      </c>
      <c r="D4" s="17" t="inlineStr">
        <is>
          <t>One-time costs</t>
        </is>
      </c>
      <c r="E4" s="17" t="inlineStr">
        <is>
          <t>What it requires and risks</t>
        </is>
      </c>
    </row>
    <row r="5">
      <c r="A5" s="3" t="inlineStr">
        <is>
          <t>1. Districtwide status quo (change nothing anywhere)</t>
        </is>
      </c>
      <c r="B5" s="8" t="n">
        <v>0</v>
      </c>
      <c r="C5" s="9">
        <f>Runway!E5</f>
        <v/>
      </c>
      <c r="D5" s="2" t="inlineStr">
        <is>
          <t>None</t>
        </is>
      </c>
      <c r="E5" s="2" t="inlineStr">
        <is>
          <t>No decisions; the districtwide drawdown, which NMES did not cause, simply continues on the straight line with or without the school</t>
        </is>
      </c>
    </row>
    <row r="6">
      <c r="A6" s="3" t="inlineStr">
        <is>
          <t>2. Close NMES and consolidate</t>
        </is>
      </c>
      <c r="B6" s="18">
        <f>Closure_Model!B20</f>
        <v/>
      </c>
      <c r="C6" s="9">
        <f>Runway!E7</f>
        <v/>
      </c>
      <c r="D6" s="2" t="inlineStr">
        <is>
          <t>Unpublished</t>
        </is>
      </c>
      <c r="E6" s="2" t="inlineStr">
        <is>
          <t>Closure vote; covers 13.6% of the gap (24.2% in the district-favorable case); longer rides; enrollment-loss risk</t>
        </is>
      </c>
    </row>
    <row r="7">
      <c r="A7" s="3" t="inlineStr">
        <is>
          <t>3. Districtwide recovery plan (menu plus levy; includes rebalancing and growing NMES)</t>
        </is>
      </c>
      <c r="B7" s="18">
        <f>Alternatives!B21</f>
        <v/>
      </c>
      <c r="C7" s="9">
        <f>Runway!E6</f>
        <v/>
      </c>
      <c r="D7" s="2" t="inlineStr">
        <is>
          <t>Varies by measure</t>
        </is>
      </c>
      <c r="E7" s="2" t="inlineStr">
        <is>
          <t>Revenue votes, administrative rollback, boundary action, HB 563 recruitment and a signature program at NMES (advanced learners is one option), implementation discipline; every school stays open</t>
        </is>
      </c>
    </row>
    <row r="9">
      <c r="A9" s="21" t="inlineStr">
        <is>
          <t>Reading: the question before the board is not closure versus no closure. It is which complete plan produces the best verified five-year result. Plan 2 buys roughly one extra year of runway; Plan 3 restores balance while keeping every school open. The rebalance-and-grow scenario (Redistricting tab) is one line inside Plan 3's menu.</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54"/>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6" customWidth="1" min="5" max="5"/>
    <col width="13" customWidth="1" min="6" max="6"/>
    <col width="48" customWidth="1" min="7" max="7"/>
  </cols>
  <sheetData>
    <row r="1">
      <c r="A1" s="1" t="inlineStr">
        <is>
          <t>Property Tax Rates, Fund Split, Delinquency, and the 4% Option</t>
        </is>
      </c>
    </row>
    <row r="2">
      <c r="A2" s="2" t="inlineStr">
        <is>
          <t>Backs Section 9 and Figure 16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28" t="n">
        <v>61.3</v>
      </c>
      <c r="G5" s="21" t="inlineStr">
        <is>
          <t>2019 documented as the board taking the 4% option (Bourbon County Citizen, 9/4/2019); other years' rate type undetermined pending KDE levy files</t>
        </is>
      </c>
    </row>
    <row r="6">
      <c r="A6" s="3" t="inlineStr">
        <is>
          <t>2019</t>
        </is>
      </c>
      <c r="B6" s="28" t="n">
        <v>60.6</v>
      </c>
    </row>
    <row r="7">
      <c r="A7" s="3" t="inlineStr">
        <is>
          <t>2020</t>
        </is>
      </c>
      <c r="B7" s="28" t="n">
        <v>55.9</v>
      </c>
    </row>
    <row r="8">
      <c r="A8" s="3" t="inlineStr">
        <is>
          <t>2021</t>
        </is>
      </c>
      <c r="B8" s="28" t="n">
        <v>54.2</v>
      </c>
    </row>
    <row r="9">
      <c r="A9" s="3" t="inlineStr">
        <is>
          <t>2022</t>
        </is>
      </c>
      <c r="B9" s="28" t="n">
        <v>49.2</v>
      </c>
    </row>
    <row r="10">
      <c r="A10" s="3" t="inlineStr">
        <is>
          <t>2023</t>
        </is>
      </c>
      <c r="B10" s="28" t="n">
        <v>52.4</v>
      </c>
    </row>
    <row r="11">
      <c r="A11" s="3" t="inlineStr">
        <is>
          <t>2024</t>
        </is>
      </c>
      <c r="B11" s="28" t="n">
        <v>52.4</v>
      </c>
    </row>
    <row r="12">
      <c r="A12" s="3" t="inlineStr">
        <is>
          <t>2025</t>
        </is>
      </c>
      <c r="B12" s="28" t="n">
        <v>52.4</v>
      </c>
    </row>
    <row r="14">
      <c r="A14" s="3" t="inlineStr">
        <is>
          <t>Tangible/personal rate (recent)</t>
        </is>
      </c>
      <c r="B14" s="28" t="n">
        <v>64.5</v>
      </c>
    </row>
    <row r="15">
      <c r="A15" s="3" t="inlineStr">
        <is>
          <t>Motor vehicle rate</t>
        </is>
      </c>
      <c r="B15" s="28" t="n">
        <v>54.7</v>
      </c>
    </row>
    <row r="16">
      <c r="A16" s="3" t="inlineStr">
        <is>
          <t>Utility gross receipts</t>
        </is>
      </c>
      <c r="B16" s="13" t="n">
        <v>0.03</v>
      </c>
    </row>
    <row r="18">
      <c r="A18" s="4" t="inlineStr">
        <is>
          <t>AREA DISTRICTS, LEVIED REAL ESTATE RATE 2024-25</t>
        </is>
      </c>
    </row>
    <row r="19">
      <c r="A19" s="3" t="inlineStr">
        <is>
          <t>Fayette County</t>
        </is>
      </c>
      <c r="B19" s="28"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28" t="n">
        <v>71.5</v>
      </c>
    </row>
    <row r="21">
      <c r="A21" s="3" t="inlineStr">
        <is>
          <t>Clark County</t>
        </is>
      </c>
      <c r="B21" s="28" t="n">
        <v>66.8</v>
      </c>
    </row>
    <row r="22">
      <c r="A22" s="3" t="inlineStr">
        <is>
          <t>Bath County</t>
        </is>
      </c>
      <c r="B22" s="28" t="n">
        <v>63.4</v>
      </c>
    </row>
    <row r="23">
      <c r="A23" s="3" t="inlineStr">
        <is>
          <t>Scott County</t>
        </is>
      </c>
      <c r="B23" s="28" t="n">
        <v>62.9</v>
      </c>
    </row>
    <row r="24">
      <c r="A24" s="3" t="inlineStr">
        <is>
          <t>Harrison County</t>
        </is>
      </c>
      <c r="B24" s="28" t="n">
        <v>57.7</v>
      </c>
    </row>
    <row r="25">
      <c r="A25" s="3" t="inlineStr">
        <is>
          <t>Montgomery County</t>
        </is>
      </c>
      <c r="B25" s="28" t="n">
        <v>52.5</v>
      </c>
    </row>
    <row r="26">
      <c r="A26" s="3" t="inlineStr">
        <is>
          <t>Bourbon County</t>
        </is>
      </c>
      <c r="B26" s="28" t="n">
        <v>52.4</v>
      </c>
    </row>
    <row r="27">
      <c r="A27" s="3" t="inlineStr">
        <is>
          <t>Nicholas County</t>
        </is>
      </c>
      <c r="B27" s="28" t="n">
        <v>43.1</v>
      </c>
    </row>
    <row r="28">
      <c r="A28" s="3" t="inlineStr">
        <is>
          <t>Statewide school average (DOR Table II, 2025)</t>
        </is>
      </c>
      <c r="B28" s="28"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9">
        <f>B32/B38</f>
        <v/>
      </c>
    </row>
    <row r="41">
      <c r="A41" s="4" t="inlineStr">
        <is>
          <t>DELINQUENCY CHECK (collections vs certified yield)</t>
        </is>
      </c>
      <c r="B41" s="22" t="inlineStr">
        <is>
          <t>FY2024</t>
        </is>
      </c>
      <c r="C41" s="22"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9">
        <f>B44/B42</f>
        <v/>
      </c>
      <c r="C45" s="19">
        <f>C44/C42</f>
        <v/>
      </c>
    </row>
    <row r="47">
      <c r="A47" s="4" t="inlineStr">
        <is>
          <t>FOUR PERCENT OPTION, THREE-YEAR PATH (KRS 160.470)</t>
        </is>
      </c>
    </row>
    <row r="48">
      <c r="A48" s="3" t="inlineStr">
        <is>
          <t>Base: FY2025 General Fund real + personal collections</t>
        </is>
      </c>
      <c r="B48" s="18">
        <f>B32</f>
        <v/>
      </c>
      <c r="G48" s="21" t="inlineStr">
        <is>
          <t>Basis: 4% more revenue from EXISTING real + personal property than the compensating rate, on the GENERAL FUND levy only. The restricted building-fund (FSPK, $2,052,786) and debt levies are excluded because that money cannot pay operating costs, the same restricted-funds rule this report applies to closure.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9">
        <f>B53/(Assumptions!B24-Assumptions!B21)</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9">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12)</t>
        </is>
      </c>
    </row>
    <row r="33">
      <c r="A33" s="3" t="inlineStr">
        <is>
          <t>Peak enrollment (1988-89)</t>
        </is>
      </c>
      <c r="B33" s="11">
        <f>MAX(F33:F51,I33:I50)</f>
        <v/>
      </c>
      <c r="E33" s="22" t="inlineStr">
        <is>
          <t>1989</t>
        </is>
      </c>
      <c r="F33" s="10" t="n">
        <v>261</v>
      </c>
      <c r="H33" s="22" t="inlineStr">
        <is>
          <t>2008</t>
        </is>
      </c>
      <c r="I33" s="10" t="n">
        <v>224</v>
      </c>
      <c r="J33" s="21" t="inlineStr">
        <is>
          <t>1989-2014 compiled by PublicSchoolReview from federal data; 2015-2025 match NCES directly</t>
        </is>
      </c>
    </row>
    <row r="34">
      <c r="A34" s="3" t="inlineStr">
        <is>
          <t>Latest official count (2024-25)</t>
        </is>
      </c>
      <c r="B34" s="11">
        <f>I50</f>
        <v/>
      </c>
      <c r="E34" s="22" t="inlineStr">
        <is>
          <t>1990</t>
        </is>
      </c>
      <c r="F34" s="10" t="n">
        <v>255</v>
      </c>
      <c r="H34" s="22" t="inlineStr">
        <is>
          <t>2009</t>
        </is>
      </c>
      <c r="I34" s="10" t="n">
        <v>217</v>
      </c>
    </row>
    <row r="35">
      <c r="A35" s="3" t="inlineStr">
        <is>
          <t>Decline from peak</t>
        </is>
      </c>
      <c r="B35" s="11">
        <f>B33-B34</f>
        <v/>
      </c>
      <c r="E35" s="22" t="inlineStr">
        <is>
          <t>1991</t>
        </is>
      </c>
      <c r="F35" s="10" t="n">
        <v>234</v>
      </c>
      <c r="H35" s="22" t="inlineStr">
        <is>
          <t>2010</t>
        </is>
      </c>
      <c r="I35" s="10" t="n">
        <v>177</v>
      </c>
    </row>
    <row r="36">
      <c r="A36" s="3" t="inlineStr">
        <is>
          <t>Decline as a share of peak</t>
        </is>
      </c>
      <c r="B36" s="19">
        <f>B35/B33</f>
        <v/>
      </c>
      <c r="E36" s="22" t="inlineStr">
        <is>
          <t>1992</t>
        </is>
      </c>
      <c r="F36" s="10" t="n">
        <v>225</v>
      </c>
      <c r="H36" s="22" t="inlineStr">
        <is>
          <t>2011</t>
        </is>
      </c>
      <c r="I36" s="10" t="n">
        <v>165</v>
      </c>
    </row>
    <row r="37">
      <c r="A37" s="3" t="inlineStr">
        <is>
          <t>Current rated capacity</t>
        </is>
      </c>
      <c r="B37" s="25">
        <f>Assumptions!B12</f>
        <v/>
      </c>
      <c r="E37" s="22" t="inlineStr">
        <is>
          <t>1993</t>
        </is>
      </c>
      <c r="F37" s="10" t="n">
        <v>202</v>
      </c>
      <c r="H37" s="22" t="inlineStr">
        <is>
          <t>2012</t>
        </is>
      </c>
      <c r="I37" s="10" t="n">
        <v>167</v>
      </c>
    </row>
    <row r="38">
      <c r="E38" s="22" t="inlineStr">
        <is>
          <t>1994</t>
        </is>
      </c>
      <c r="F38" s="10" t="n">
        <v>203</v>
      </c>
      <c r="H38" s="22" t="inlineStr">
        <is>
          <t>2013</t>
        </is>
      </c>
      <c r="I38" s="10" t="n">
        <v>154</v>
      </c>
    </row>
    <row r="39">
      <c r="E39" s="22" t="inlineStr">
        <is>
          <t>1995</t>
        </is>
      </c>
      <c r="F39" s="10" t="n">
        <v>182</v>
      </c>
      <c r="H39" s="22" t="inlineStr">
        <is>
          <t>2014</t>
        </is>
      </c>
      <c r="I39" s="10" t="n">
        <v>154</v>
      </c>
    </row>
    <row r="40">
      <c r="E40" s="22" t="inlineStr">
        <is>
          <t>1996</t>
        </is>
      </c>
      <c r="F40" s="10" t="n">
        <v>196</v>
      </c>
      <c r="H40" s="22" t="inlineStr">
        <is>
          <t>2015</t>
        </is>
      </c>
      <c r="I40" s="10" t="n">
        <v>155</v>
      </c>
    </row>
    <row r="41">
      <c r="E41" s="22" t="inlineStr">
        <is>
          <t>1997</t>
        </is>
      </c>
      <c r="F41" s="10" t="n">
        <v>208</v>
      </c>
      <c r="H41" s="22" t="inlineStr">
        <is>
          <t>2016</t>
        </is>
      </c>
      <c r="I41" s="10" t="n">
        <v>154</v>
      </c>
    </row>
    <row r="42">
      <c r="E42" s="22" t="inlineStr">
        <is>
          <t>1998</t>
        </is>
      </c>
      <c r="F42" s="10" t="n">
        <v>198</v>
      </c>
      <c r="H42" s="22" t="inlineStr">
        <is>
          <t>2017</t>
        </is>
      </c>
      <c r="I42" s="10" t="n">
        <v>131</v>
      </c>
    </row>
    <row r="43">
      <c r="E43" s="22" t="inlineStr">
        <is>
          <t>1999</t>
        </is>
      </c>
      <c r="F43" s="10" t="n">
        <v>205</v>
      </c>
      <c r="H43" s="22" t="inlineStr">
        <is>
          <t>2018</t>
        </is>
      </c>
      <c r="I43" s="10" t="n">
        <v>131</v>
      </c>
    </row>
    <row r="44">
      <c r="E44" s="22" t="inlineStr">
        <is>
          <t>2000</t>
        </is>
      </c>
      <c r="F44" s="10" t="n">
        <v>195</v>
      </c>
      <c r="H44" s="22" t="inlineStr">
        <is>
          <t>2019</t>
        </is>
      </c>
      <c r="I44" s="10" t="n">
        <v>160</v>
      </c>
    </row>
    <row r="45">
      <c r="E45" s="22" t="inlineStr">
        <is>
          <t>2001</t>
        </is>
      </c>
      <c r="F45" s="10" t="n">
        <v>195</v>
      </c>
      <c r="H45" s="22" t="inlineStr">
        <is>
          <t>2020</t>
        </is>
      </c>
      <c r="I45" s="10" t="n">
        <v>160</v>
      </c>
    </row>
    <row r="46">
      <c r="E46" s="22" t="inlineStr">
        <is>
          <t>2002</t>
        </is>
      </c>
      <c r="F46" s="10" t="n">
        <v>203</v>
      </c>
      <c r="H46" s="22" t="inlineStr">
        <is>
          <t>2021</t>
        </is>
      </c>
      <c r="I46" s="10" t="n">
        <v>148</v>
      </c>
    </row>
    <row r="47">
      <c r="E47" s="22" t="inlineStr">
        <is>
          <t>2003</t>
        </is>
      </c>
      <c r="F47" s="10" t="n">
        <v>196</v>
      </c>
      <c r="H47" s="22" t="inlineStr">
        <is>
          <t>2022</t>
        </is>
      </c>
      <c r="I47" s="10" t="n">
        <v>153</v>
      </c>
    </row>
    <row r="48">
      <c r="E48" s="22" t="inlineStr">
        <is>
          <t>2004</t>
        </is>
      </c>
      <c r="F48" s="10" t="n">
        <v>206</v>
      </c>
      <c r="H48" s="22" t="inlineStr">
        <is>
          <t>2023</t>
        </is>
      </c>
      <c r="I48" s="10" t="n">
        <v>145</v>
      </c>
    </row>
    <row r="49">
      <c r="E49" s="22" t="inlineStr">
        <is>
          <t>2005</t>
        </is>
      </c>
      <c r="F49" s="10" t="n">
        <v>204</v>
      </c>
      <c r="H49" s="22" t="inlineStr">
        <is>
          <t>2024</t>
        </is>
      </c>
      <c r="I49" s="10" t="n">
        <v>135</v>
      </c>
    </row>
    <row r="50">
      <c r="E50" s="22" t="inlineStr">
        <is>
          <t>2006</t>
        </is>
      </c>
      <c r="F50" s="10" t="n">
        <v>199</v>
      </c>
      <c r="H50" s="22" t="inlineStr">
        <is>
          <t>2025</t>
        </is>
      </c>
      <c r="I50" s="10" t="n">
        <v>128</v>
      </c>
    </row>
    <row r="51">
      <c r="E51" s="22"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62"/>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The 2007-2025 series below is SchoolDigger's normalized 0-100 index built from KDE test data (a third-party rendering, kept for context). KDE's own official record, pulled directly from the department's historical files, is in the KDE OFFICIAL HISTORY block below and governs every claim in the report.</t>
        </is>
      </c>
    </row>
    <row r="4">
      <c r="A4" s="4" t="inlineStr">
        <is>
          <t>NMES ENROLLMENT BY SCHOOL YEAR (backs Figure 12)</t>
        </is>
      </c>
    </row>
    <row r="5">
      <c r="A5" s="22" t="inlineStr">
        <is>
          <t>School year</t>
        </is>
      </c>
      <c r="B5" s="22" t="inlineStr">
        <is>
          <t>'15-16</t>
        </is>
      </c>
      <c r="C5" s="22" t="inlineStr">
        <is>
          <t>'16-17</t>
        </is>
      </c>
      <c r="D5" s="22" t="inlineStr">
        <is>
          <t>'17-18</t>
        </is>
      </c>
      <c r="E5" s="22" t="inlineStr">
        <is>
          <t>'18-19</t>
        </is>
      </c>
      <c r="F5" s="22" t="inlineStr">
        <is>
          <t>'19-20</t>
        </is>
      </c>
      <c r="G5" s="22" t="inlineStr">
        <is>
          <t>'20-21</t>
        </is>
      </c>
      <c r="H5" s="22" t="inlineStr">
        <is>
          <t>'21-22</t>
        </is>
      </c>
      <c r="I5" s="22" t="inlineStr">
        <is>
          <t>'22-23</t>
        </is>
      </c>
      <c r="J5" s="22" t="inlineStr">
        <is>
          <t>'23-24</t>
        </is>
      </c>
      <c r="K5" s="22"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6 and 7)</t>
        </is>
      </c>
    </row>
    <row r="14">
      <c r="A14" s="22" t="inlineStr">
        <is>
          <t>School (district)</t>
        </is>
      </c>
      <c r="B14" s="22" t="inlineStr">
        <is>
          <t>2007</t>
        </is>
      </c>
      <c r="C14" s="22" t="inlineStr">
        <is>
          <t>2008</t>
        </is>
      </c>
      <c r="D14" s="22" t="inlineStr">
        <is>
          <t>2009</t>
        </is>
      </c>
      <c r="E14" s="22" t="inlineStr">
        <is>
          <t>2010</t>
        </is>
      </c>
      <c r="F14" s="22" t="inlineStr">
        <is>
          <t>2011</t>
        </is>
      </c>
      <c r="G14" s="22" t="inlineStr">
        <is>
          <t>2012</t>
        </is>
      </c>
      <c r="H14" s="22" t="inlineStr">
        <is>
          <t>2013</t>
        </is>
      </c>
      <c r="I14" s="22" t="inlineStr">
        <is>
          <t>2014</t>
        </is>
      </c>
      <c r="J14" s="22" t="inlineStr">
        <is>
          <t>2015</t>
        </is>
      </c>
      <c r="K14" s="22" t="inlineStr">
        <is>
          <t>2016</t>
        </is>
      </c>
      <c r="L14" s="22" t="inlineStr">
        <is>
          <t>2017</t>
        </is>
      </c>
      <c r="M14" s="22" t="inlineStr">
        <is>
          <t>2018</t>
        </is>
      </c>
      <c r="N14" s="22" t="inlineStr">
        <is>
          <t>2019</t>
        </is>
      </c>
      <c r="O14" s="22" t="inlineStr">
        <is>
          <t>2021</t>
        </is>
      </c>
      <c r="P14" s="22" t="inlineStr">
        <is>
          <t>2022</t>
        </is>
      </c>
      <c r="Q14" s="22" t="inlineStr">
        <is>
          <t>2023</t>
        </is>
      </c>
      <c r="R14" s="22" t="inlineStr">
        <is>
          <t>2024</t>
        </is>
      </c>
      <c r="S14" s="22"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28" t="n">
        <v>56.5</v>
      </c>
      <c r="C15" s="28" t="n">
        <v>63.9</v>
      </c>
      <c r="D15" s="28" t="n">
        <v>68.59999999999999</v>
      </c>
      <c r="E15" s="28" t="n">
        <v>87.90000000000001</v>
      </c>
      <c r="F15" s="28" t="n">
        <v>85.8</v>
      </c>
      <c r="G15" s="28" t="n">
        <v>72.5</v>
      </c>
      <c r="H15" s="28" t="n">
        <v>67.59999999999999</v>
      </c>
      <c r="I15" s="28" t="n">
        <v>56.6</v>
      </c>
      <c r="J15" s="28" t="n">
        <v>56.9</v>
      </c>
      <c r="K15" s="28" t="n">
        <v>48.7</v>
      </c>
      <c r="L15" s="28" t="n">
        <v>49.3</v>
      </c>
      <c r="M15" s="28" t="n">
        <v>40</v>
      </c>
      <c r="N15" s="28" t="n">
        <v>50.4</v>
      </c>
      <c r="P15" s="28" t="n">
        <v>47.7</v>
      </c>
      <c r="Q15" s="28" t="n">
        <v>32.1</v>
      </c>
      <c r="R15" s="28" t="n">
        <v>54.1</v>
      </c>
      <c r="S15" s="28" t="n">
        <v>58.2</v>
      </c>
    </row>
    <row r="16">
      <c r="A16" s="3" t="inlineStr">
        <is>
          <t>Bourbon Central (Bourbon Co.)</t>
        </is>
      </c>
      <c r="B16" s="28" t="n">
        <v>77.5</v>
      </c>
      <c r="C16" s="28" t="n">
        <v>81.90000000000001</v>
      </c>
      <c r="D16" s="28" t="n">
        <v>72.59999999999999</v>
      </c>
      <c r="E16" s="28" t="n">
        <v>69.59999999999999</v>
      </c>
      <c r="F16" s="28" t="n">
        <v>63</v>
      </c>
      <c r="G16" s="28" t="n">
        <v>74.7</v>
      </c>
      <c r="H16" s="28" t="n">
        <v>67.59999999999999</v>
      </c>
      <c r="I16" s="28" t="n">
        <v>51.8</v>
      </c>
      <c r="J16" s="28" t="n">
        <v>52.1</v>
      </c>
      <c r="K16" s="28" t="n">
        <v>30</v>
      </c>
      <c r="L16" s="28" t="n">
        <v>34</v>
      </c>
      <c r="M16" s="28" t="n">
        <v>32.8</v>
      </c>
      <c r="N16" s="28" t="n">
        <v>39.9</v>
      </c>
      <c r="O16" s="28" t="n">
        <v>20</v>
      </c>
      <c r="P16" s="28" t="n">
        <v>29.9</v>
      </c>
      <c r="Q16" s="28" t="n">
        <v>29</v>
      </c>
      <c r="R16" s="28" t="n">
        <v>23.8</v>
      </c>
      <c r="S16" s="28" t="n">
        <v>26.5</v>
      </c>
    </row>
    <row r="17">
      <c r="A17" s="3" t="inlineStr">
        <is>
          <t>Cane Ridge (Bourbon Co.)</t>
        </is>
      </c>
      <c r="B17" s="28" t="n">
        <v>35.2</v>
      </c>
      <c r="C17" s="28" t="n">
        <v>50.9</v>
      </c>
      <c r="D17" s="28" t="n">
        <v>56.2</v>
      </c>
      <c r="E17" s="28" t="n">
        <v>65.5</v>
      </c>
      <c r="F17" s="28" t="n">
        <v>34.5</v>
      </c>
      <c r="G17" s="28" t="n">
        <v>34</v>
      </c>
      <c r="H17" s="28" t="n">
        <v>49.6</v>
      </c>
      <c r="I17" s="28" t="n">
        <v>51</v>
      </c>
      <c r="J17" s="28" t="n">
        <v>51.1</v>
      </c>
      <c r="K17" s="28" t="n">
        <v>57.5</v>
      </c>
      <c r="L17" s="28" t="n">
        <v>50.4</v>
      </c>
      <c r="M17" s="28" t="n">
        <v>41.4</v>
      </c>
      <c r="N17" s="28" t="n">
        <v>38.8</v>
      </c>
      <c r="O17" s="28" t="n">
        <v>23.8</v>
      </c>
      <c r="P17" s="28" t="n">
        <v>38.7</v>
      </c>
      <c r="Q17" s="28" t="n">
        <v>34.6</v>
      </c>
      <c r="R17" s="28" t="n">
        <v>35.8</v>
      </c>
      <c r="S17" s="28" t="n">
        <v>19.3</v>
      </c>
    </row>
    <row r="18">
      <c r="A18" s="3" t="inlineStr">
        <is>
          <t>Paris Elementary (Paris Indep.)</t>
        </is>
      </c>
      <c r="R18" s="28" t="n">
        <v>16.8</v>
      </c>
      <c r="S18" s="28" t="n">
        <v>12.2</v>
      </c>
    </row>
    <row r="19">
      <c r="A19" s="3" t="inlineStr">
        <is>
          <t>Shearer (Clark Co.)</t>
        </is>
      </c>
      <c r="R19" s="28" t="n">
        <v>30.7</v>
      </c>
      <c r="S19" s="28" t="n">
        <v>42.3</v>
      </c>
    </row>
    <row r="20">
      <c r="A20" s="3" t="inlineStr">
        <is>
          <t>Justice (Clark Co.)</t>
        </is>
      </c>
      <c r="R20" s="28" t="n">
        <v>43.2</v>
      </c>
      <c r="S20" s="28" t="n">
        <v>39.3</v>
      </c>
    </row>
    <row r="21">
      <c r="A21" s="3" t="inlineStr">
        <is>
          <t>Strode Station (Clark Co.)</t>
        </is>
      </c>
      <c r="R21" s="28" t="n">
        <v>43.2</v>
      </c>
      <c r="S21" s="28" t="n">
        <v>34.2</v>
      </c>
    </row>
    <row r="22">
      <c r="A22" s="3" t="inlineStr">
        <is>
          <t>Conkwright (Clark Co.)</t>
        </is>
      </c>
      <c r="R22" s="28" t="n">
        <v>15.6</v>
      </c>
      <c r="S22" s="28" t="n">
        <v>17.5</v>
      </c>
    </row>
    <row r="23">
      <c r="A23" s="3" t="inlineStr">
        <is>
          <t>Northview (Montgomery Co.)</t>
        </is>
      </c>
      <c r="R23" s="28" t="n">
        <v>67.40000000000001</v>
      </c>
      <c r="S23" s="28" t="n">
        <v>68.90000000000001</v>
      </c>
    </row>
    <row r="24">
      <c r="A24" s="3" t="inlineStr">
        <is>
          <t>Mapleton (Montgomery Co.)</t>
        </is>
      </c>
      <c r="R24" s="28" t="n">
        <v>65.90000000000001</v>
      </c>
      <c r="S24" s="28" t="n">
        <v>65.09999999999999</v>
      </c>
    </row>
    <row r="25">
      <c r="A25" s="3" t="inlineStr">
        <is>
          <t>Nicholas County Elementary (Nicholas Co.)</t>
        </is>
      </c>
      <c r="R25" s="28" t="n">
        <v>15.9</v>
      </c>
      <c r="T25" s="2" t="inlineStr">
        <is>
          <t>Nicholas County: 2024 value; 2025 not retrieved</t>
        </is>
      </c>
    </row>
    <row r="26">
      <c r="A26" s="3" t="inlineStr">
        <is>
          <t>Three-year average, 2023-2025: NMES / Bourbon Central / Cane Ridge</t>
        </is>
      </c>
      <c r="B26" s="20">
        <f>AVERAGE(Q15:S15)</f>
        <v/>
      </c>
      <c r="C26" s="20">
        <f>AVERAGE(Q16:S16)</f>
        <v/>
      </c>
      <c r="D26" s="20">
        <f>AVERAGE(Q17:S17)</f>
        <v/>
      </c>
    </row>
    <row r="28">
      <c r="A28" s="4" t="inlineStr">
        <is>
          <t>NMES DETAIL, 2024-25 (backs Section 5)</t>
        </is>
      </c>
    </row>
    <row r="29">
      <c r="B29" s="22" t="inlineStr">
        <is>
          <t>NMES</t>
        </is>
      </c>
      <c r="C29" s="22"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4" t="inlineStr">
        <is>
          <t>KDE 2024-25 KSA, PERCENT PROFICIENT OR DISTINGUISHED, ALL STUDENTS (build/kde_ksa_2024_25.json)</t>
        </is>
      </c>
      <c r="B33" s="13" t="n">
        <v>0.53</v>
      </c>
      <c r="C33" s="13" t="n">
        <v>0.37</v>
      </c>
    </row>
    <row r="34">
      <c r="A34" s="17" t="inlineStr">
        <is>
          <t>Subject</t>
        </is>
      </c>
      <c r="B34" s="32" t="inlineStr">
        <is>
          <t>NMES</t>
        </is>
      </c>
      <c r="C34" s="17" t="inlineStr">
        <is>
          <t>Bourbon Central</t>
        </is>
      </c>
      <c r="D34" s="17" t="inlineStr">
        <is>
          <t>Cane Ridge</t>
        </is>
      </c>
      <c r="E34" s="17" t="inlineStr">
        <is>
          <t>Paris Elem.</t>
        </is>
      </c>
      <c r="F34" s="17" t="inlineStr">
        <is>
          <t>KY elementary avg</t>
        </is>
      </c>
    </row>
    <row r="35">
      <c r="A35" s="2" t="inlineStr">
        <is>
          <t>Reading</t>
        </is>
      </c>
      <c r="B35" s="10" t="n">
        <v>41</v>
      </c>
      <c r="C35" s="10" t="n">
        <v>38</v>
      </c>
      <c r="D35" s="10" t="n">
        <v>37</v>
      </c>
      <c r="E35" s="10" t="n">
        <v>25</v>
      </c>
      <c r="F35" s="10" t="n">
        <v>49</v>
      </c>
    </row>
    <row r="36">
      <c r="A36" s="2" t="inlineStr">
        <is>
          <t>Mathematics</t>
        </is>
      </c>
      <c r="B36" s="10" t="n">
        <v>31</v>
      </c>
      <c r="C36" s="10" t="n">
        <v>28</v>
      </c>
      <c r="D36" s="10" t="n">
        <v>27</v>
      </c>
      <c r="E36" s="10" t="n">
        <v>29</v>
      </c>
      <c r="F36" s="10" t="n">
        <v>43</v>
      </c>
    </row>
    <row r="37">
      <c r="A37" s="2" t="inlineStr">
        <is>
          <t>Science</t>
        </is>
      </c>
      <c r="B37" s="10" t="n">
        <v>53</v>
      </c>
      <c r="C37" s="10" t="n">
        <v>26</v>
      </c>
      <c r="D37" s="5" t="inlineStr">
        <is>
          <t>*</t>
        </is>
      </c>
      <c r="E37" s="5" t="inlineStr">
        <is>
          <t>*</t>
        </is>
      </c>
      <c r="F37" s="10" t="n">
        <v>37</v>
      </c>
    </row>
    <row r="38">
      <c r="A38" s="2" t="inlineStr">
        <is>
          <t>Social Studies</t>
        </is>
      </c>
      <c r="B38" s="10" t="n">
        <v>36</v>
      </c>
      <c r="C38" s="10" t="n">
        <v>31</v>
      </c>
      <c r="D38" s="10" t="n">
        <v>27</v>
      </c>
      <c r="E38" s="10" t="n">
        <v>22</v>
      </c>
      <c r="F38" s="10" t="n">
        <v>38</v>
      </c>
    </row>
    <row r="39">
      <c r="A39" s="2" t="inlineStr">
        <is>
          <t>Combined Writing</t>
        </is>
      </c>
      <c r="B39" s="10" t="n">
        <v>56</v>
      </c>
      <c r="C39" s="10" t="n">
        <v>40</v>
      </c>
      <c r="D39" s="10" t="n">
        <v>27</v>
      </c>
      <c r="E39" s="10" t="n">
        <v>4</v>
      </c>
      <c r="F39" s="10" t="n">
        <v>43</v>
      </c>
    </row>
    <row r="41">
      <c r="A41" s="21" t="inlineStr">
        <is>
          <t>NMES is first among all four county elementary schools in every subject and beats the statewide elementary average in science and writing. Asterisks = state-suppressed cells.</t>
        </is>
      </c>
    </row>
    <row r="43">
      <c r="A43" s="4" t="inlineStr">
        <is>
          <t>KDE OFFICIAL HISTORY, 2011-12 TO 2024-25 (build/kde_scores_history.json)</t>
        </is>
      </c>
    </row>
    <row r="44">
      <c r="A44" s="22" t="inlineStr">
        <is>
          <t>Percent proficient or distinguished</t>
        </is>
      </c>
      <c r="B44" s="22" t="inlineStr">
        <is>
          <t>'11-12</t>
        </is>
      </c>
      <c r="C44" s="22" t="inlineStr">
        <is>
          <t>'12-13</t>
        </is>
      </c>
      <c r="D44" s="22" t="inlineStr">
        <is>
          <t>'13-14</t>
        </is>
      </c>
      <c r="E44" s="22" t="inlineStr">
        <is>
          <t>'14-15</t>
        </is>
      </c>
      <c r="F44" s="22" t="inlineStr">
        <is>
          <t>'15-16</t>
        </is>
      </c>
      <c r="G44" s="22" t="inlineStr">
        <is>
          <t>'16-17</t>
        </is>
      </c>
      <c r="H44" s="22" t="inlineStr">
        <is>
          <t>'17-18</t>
        </is>
      </c>
      <c r="I44" s="22" t="inlineStr">
        <is>
          <t>'18-19</t>
        </is>
      </c>
      <c r="J44" s="22" t="inlineStr">
        <is>
          <t>'20-21</t>
        </is>
      </c>
      <c r="K44" s="22" t="inlineStr">
        <is>
          <t>'21-22</t>
        </is>
      </c>
      <c r="L44" s="22" t="inlineStr">
        <is>
          <t>'22-23</t>
        </is>
      </c>
      <c r="M44" s="22" t="inlineStr">
        <is>
          <t>'23-24</t>
        </is>
      </c>
      <c r="N44" s="22" t="inlineStr">
        <is>
          <t>'24-25</t>
        </is>
      </c>
      <c r="T44" s="21" t="inlineStr">
        <is>
          <t>KDE historical accountability files (all students, elementary level); 2017-19 recovered from Wayback captures of KDE's retired download endpoint. 2019-20 canceled statewide; 2020-21 was a limited COVID administration. CATS-era files (2006-2011) are available from KDE by data request.</t>
        </is>
      </c>
    </row>
    <row r="45">
      <c r="A45" s="3" t="inlineStr">
        <is>
          <t>Reading: North Middletown</t>
        </is>
      </c>
      <c r="B45" s="28" t="n">
        <v>51.9</v>
      </c>
      <c r="C45" s="28" t="n">
        <v>59.7</v>
      </c>
      <c r="D45" s="28" t="n">
        <v>63.2</v>
      </c>
      <c r="E45" s="28" t="n">
        <v>53.2</v>
      </c>
      <c r="F45" s="28" t="n">
        <v>56.1</v>
      </c>
      <c r="G45" s="28" t="n">
        <v>55.6</v>
      </c>
      <c r="H45" s="28" t="n">
        <v>42.3</v>
      </c>
      <c r="I45" s="28" t="n">
        <v>48.4</v>
      </c>
      <c r="J45" s="28" t="n">
        <v>21.4</v>
      </c>
      <c r="K45" s="28" t="n">
        <v>32</v>
      </c>
      <c r="L45" s="28" t="n">
        <v>43</v>
      </c>
      <c r="M45" s="28" t="n">
        <v>45</v>
      </c>
      <c r="N45" s="28" t="n">
        <v>41</v>
      </c>
    </row>
    <row r="46">
      <c r="A46" s="3" t="inlineStr">
        <is>
          <t>Reading: Bourbon Central</t>
        </is>
      </c>
      <c r="B46" s="28" t="n">
        <v>62.1</v>
      </c>
      <c r="C46" s="28" t="n">
        <v>56.6</v>
      </c>
      <c r="D46" s="28" t="n">
        <v>61.2</v>
      </c>
      <c r="E46" s="28" t="n">
        <v>55.7</v>
      </c>
      <c r="F46" s="28" t="n">
        <v>47.9</v>
      </c>
      <c r="G46" s="28" t="n">
        <v>47.9</v>
      </c>
      <c r="H46" s="28" t="n">
        <v>49.3</v>
      </c>
      <c r="I46" s="28" t="n">
        <v>49.1</v>
      </c>
      <c r="J46" s="28" t="n">
        <v>27.1</v>
      </c>
      <c r="K46" s="28" t="n">
        <v>43</v>
      </c>
      <c r="L46" s="28" t="n">
        <v>37</v>
      </c>
      <c r="M46" s="28" t="n">
        <v>36</v>
      </c>
      <c r="N46" s="28" t="n">
        <v>38</v>
      </c>
    </row>
    <row r="47">
      <c r="A47" s="3" t="inlineStr">
        <is>
          <t>Reading: Cane Ridge</t>
        </is>
      </c>
      <c r="B47" s="28" t="n">
        <v>42.9</v>
      </c>
      <c r="C47" s="28" t="n">
        <v>47.2</v>
      </c>
      <c r="D47" s="28" t="n">
        <v>54.5</v>
      </c>
      <c r="E47" s="28" t="n">
        <v>55.3</v>
      </c>
      <c r="F47" s="28" t="n">
        <v>59.3</v>
      </c>
      <c r="G47" s="28" t="n">
        <v>57.1</v>
      </c>
      <c r="H47" s="28" t="n">
        <v>52</v>
      </c>
      <c r="I47" s="28" t="n">
        <v>49.6</v>
      </c>
      <c r="J47" s="28" t="n">
        <v>26.5</v>
      </c>
      <c r="K47" s="28" t="n">
        <v>44</v>
      </c>
      <c r="L47" s="28" t="n">
        <v>40</v>
      </c>
      <c r="M47" s="28" t="n">
        <v>40</v>
      </c>
      <c r="N47" s="28" t="n">
        <v>37</v>
      </c>
    </row>
    <row r="48">
      <c r="A48" s="3" t="inlineStr">
        <is>
          <t>Reading: Paris Elementary</t>
        </is>
      </c>
      <c r="B48" s="28" t="n">
        <v>31</v>
      </c>
      <c r="C48" s="28" t="n">
        <v>34.1</v>
      </c>
      <c r="D48" s="28" t="n">
        <v>42.9</v>
      </c>
      <c r="E48" s="28" t="n">
        <v>38.9</v>
      </c>
      <c r="F48" s="28" t="n">
        <v>41.2</v>
      </c>
      <c r="G48" s="28" t="n">
        <v>34.3</v>
      </c>
      <c r="H48" s="28" t="n">
        <v>34.4</v>
      </c>
      <c r="I48" s="28" t="n">
        <v>35.3</v>
      </c>
      <c r="J48" s="28" t="n">
        <v>25</v>
      </c>
      <c r="K48" s="28" t="n">
        <v>28</v>
      </c>
      <c r="L48" s="28" t="n">
        <v>25</v>
      </c>
      <c r="M48" s="28" t="n">
        <v>30</v>
      </c>
      <c r="N48" s="28" t="n">
        <v>25</v>
      </c>
    </row>
    <row r="49">
      <c r="A49" s="3" t="inlineStr">
        <is>
          <t>Mathematics: North Middletown</t>
        </is>
      </c>
      <c r="B49" s="28" t="n">
        <v>53.2</v>
      </c>
      <c r="C49" s="28" t="n">
        <v>49.4</v>
      </c>
      <c r="D49" s="28" t="n">
        <v>55.3</v>
      </c>
      <c r="E49" s="28" t="n">
        <v>59.5</v>
      </c>
      <c r="F49" s="28" t="n">
        <v>62.1</v>
      </c>
      <c r="G49" s="28" t="n">
        <v>50.8</v>
      </c>
      <c r="H49" s="28" t="n">
        <v>47.9</v>
      </c>
      <c r="I49" s="28" t="n">
        <v>48.4</v>
      </c>
      <c r="J49" s="28" t="n">
        <v>17.9</v>
      </c>
      <c r="K49" s="28" t="n">
        <v>31</v>
      </c>
      <c r="L49" s="28" t="n">
        <v>30</v>
      </c>
      <c r="M49" s="28" t="n">
        <v>45</v>
      </c>
      <c r="N49" s="28" t="n">
        <v>31</v>
      </c>
    </row>
    <row r="50">
      <c r="A50" s="3" t="inlineStr">
        <is>
          <t>Mathematics: Bourbon Central</t>
        </is>
      </c>
      <c r="B50" s="28" t="n">
        <v>47.1</v>
      </c>
      <c r="C50" s="28" t="n">
        <v>47.4</v>
      </c>
      <c r="D50" s="28" t="n">
        <v>43</v>
      </c>
      <c r="E50" s="28" t="n">
        <v>43.6</v>
      </c>
      <c r="F50" s="28" t="n">
        <v>40</v>
      </c>
      <c r="G50" s="28" t="n">
        <v>43.5</v>
      </c>
      <c r="H50" s="28" t="n">
        <v>41.8</v>
      </c>
      <c r="I50" s="28" t="n">
        <v>45.1</v>
      </c>
      <c r="J50" s="28" t="n">
        <v>31.7</v>
      </c>
      <c r="K50" s="28" t="n">
        <v>27</v>
      </c>
      <c r="L50" s="28" t="n">
        <v>28</v>
      </c>
      <c r="M50" s="28" t="n">
        <v>23</v>
      </c>
      <c r="N50" s="28" t="n">
        <v>28</v>
      </c>
    </row>
    <row r="51">
      <c r="A51" s="3" t="inlineStr">
        <is>
          <t>Mathematics: Cane Ridge</t>
        </is>
      </c>
      <c r="B51" s="28" t="n">
        <v>33.3</v>
      </c>
      <c r="C51" s="28" t="n">
        <v>37.7</v>
      </c>
      <c r="D51" s="28" t="n">
        <v>43.1</v>
      </c>
      <c r="E51" s="28" t="n">
        <v>46.1</v>
      </c>
      <c r="F51" s="28" t="n">
        <v>54.4</v>
      </c>
      <c r="G51" s="28" t="n">
        <v>45.9</v>
      </c>
      <c r="H51" s="28" t="n">
        <v>41.5</v>
      </c>
      <c r="I51" s="28" t="n">
        <v>39</v>
      </c>
      <c r="J51" s="28" t="n">
        <v>25.2</v>
      </c>
      <c r="K51" s="28" t="n">
        <v>33</v>
      </c>
      <c r="L51" s="28" t="n">
        <v>35</v>
      </c>
      <c r="M51" s="28" t="n">
        <v>30</v>
      </c>
      <c r="N51" s="28" t="n">
        <v>27</v>
      </c>
    </row>
    <row r="52">
      <c r="A52" s="3" t="inlineStr">
        <is>
          <t>Mathematics: Paris Elementary</t>
        </is>
      </c>
      <c r="B52" s="28" t="n">
        <v>29.7</v>
      </c>
      <c r="C52" s="28" t="n">
        <v>25</v>
      </c>
      <c r="D52" s="28" t="n">
        <v>26.8</v>
      </c>
      <c r="E52" s="28" t="n">
        <v>22.9</v>
      </c>
      <c r="F52" s="28" t="n">
        <v>41.9</v>
      </c>
      <c r="G52" s="28" t="n">
        <v>28.7</v>
      </c>
      <c r="H52" s="28" t="n">
        <v>30</v>
      </c>
      <c r="I52" s="28" t="n">
        <v>32</v>
      </c>
      <c r="J52" s="28" t="n">
        <v>15.3</v>
      </c>
      <c r="K52" s="28" t="n">
        <v>23</v>
      </c>
      <c r="L52" s="28" t="n">
        <v>32</v>
      </c>
      <c r="M52" s="28" t="n">
        <v>27</v>
      </c>
      <c r="N52" s="28" t="n">
        <v>29</v>
      </c>
    </row>
    <row r="53">
      <c r="A53" s="21" t="inlineStr">
        <is>
          <t>NMES led the county in mathematics in every pre-COVID administration on record, 2011-12 through 2018-19: eight straight years.</t>
        </is>
      </c>
    </row>
    <row r="55">
      <c r="A55" s="22" t="inlineStr">
        <is>
          <t>Official overall score</t>
        </is>
      </c>
      <c r="B55" s="22" t="inlineStr">
        <is>
          <t>'11-12</t>
        </is>
      </c>
      <c r="C55" s="22" t="inlineStr">
        <is>
          <t>'12-13</t>
        </is>
      </c>
      <c r="D55" s="22" t="inlineStr">
        <is>
          <t>'13-14</t>
        </is>
      </c>
      <c r="E55" s="22" t="inlineStr">
        <is>
          <t>'14-15</t>
        </is>
      </c>
      <c r="F55" s="22" t="inlineStr">
        <is>
          <t>'15-16</t>
        </is>
      </c>
      <c r="G55" s="22" t="inlineStr">
        <is>
          <t>'16-17</t>
        </is>
      </c>
      <c r="H55" s="22" t="inlineStr">
        <is>
          <t>'17-18</t>
        </is>
      </c>
      <c r="I55" s="22" t="inlineStr">
        <is>
          <t>'18-19</t>
        </is>
      </c>
      <c r="J55" s="22" t="inlineStr">
        <is>
          <t>'20-21</t>
        </is>
      </c>
      <c r="K55" s="22" t="inlineStr">
        <is>
          <t>'21-22</t>
        </is>
      </c>
      <c r="L55" s="22" t="inlineStr">
        <is>
          <t>'22-23</t>
        </is>
      </c>
      <c r="M55" s="22" t="inlineStr">
        <is>
          <t>'23-24</t>
        </is>
      </c>
      <c r="N55" s="22" t="inlineStr">
        <is>
          <t>'24-25</t>
        </is>
      </c>
      <c r="T55" s="21" t="inlineStr">
        <is>
          <t>Unbridled Learning overall score 2011-12 to 2015-16 (state classifications noted below); KSA overall indicator rate 2021-22 to 2024-25. The two scales are not comparable to each other. No overall score was issued 2016-17 through 2020-21 by design.</t>
        </is>
      </c>
    </row>
    <row r="56">
      <c r="A56" s="3" t="inlineStr">
        <is>
          <t>North Middletown</t>
        </is>
      </c>
      <c r="B56" s="28" t="n">
        <v>62.6</v>
      </c>
      <c r="C56" s="28" t="n">
        <v>68.8</v>
      </c>
      <c r="D56" s="28" t="n">
        <v>71.40000000000001</v>
      </c>
      <c r="E56" s="28" t="n">
        <v>72.09999999999999</v>
      </c>
      <c r="F56" s="28" t="n">
        <v>79.09999999999999</v>
      </c>
      <c r="K56" s="28" t="n">
        <v>51.9</v>
      </c>
      <c r="L56" s="28" t="n">
        <v>62.2</v>
      </c>
      <c r="M56" s="28" t="n">
        <v>74.5</v>
      </c>
      <c r="N56" s="28" t="n">
        <v>54</v>
      </c>
    </row>
    <row r="57">
      <c r="A57" s="3" t="inlineStr">
        <is>
          <t>Bourbon Central</t>
        </is>
      </c>
      <c r="B57" s="28" t="n">
        <v>63.2</v>
      </c>
      <c r="C57" s="28" t="n">
        <v>63</v>
      </c>
      <c r="D57" s="28" t="n">
        <v>69.8</v>
      </c>
      <c r="E57" s="28" t="n">
        <v>67.8</v>
      </c>
      <c r="F57" s="28" t="n">
        <v>56.8</v>
      </c>
      <c r="K57" s="28" t="n">
        <v>52.8</v>
      </c>
      <c r="L57" s="28" t="n">
        <v>56.7</v>
      </c>
      <c r="M57" s="28" t="n">
        <v>50.3</v>
      </c>
      <c r="N57" s="28" t="n">
        <v>55.4</v>
      </c>
    </row>
    <row r="58">
      <c r="A58" s="3" t="inlineStr">
        <is>
          <t>Cane Ridge</t>
        </is>
      </c>
      <c r="B58" s="28" t="n">
        <v>53.3</v>
      </c>
      <c r="C58" s="28" t="n">
        <v>58.9</v>
      </c>
      <c r="D58" s="28" t="n">
        <v>69.2</v>
      </c>
      <c r="E58" s="28" t="n">
        <v>68.5</v>
      </c>
      <c r="F58" s="28" t="n">
        <v>65.5</v>
      </c>
      <c r="K58" s="28" t="n">
        <v>54.3</v>
      </c>
      <c r="L58" s="28" t="n">
        <v>51.8</v>
      </c>
      <c r="M58" s="28" t="n">
        <v>60.7</v>
      </c>
      <c r="N58" s="28" t="n">
        <v>47.8</v>
      </c>
    </row>
    <row r="59">
      <c r="A59" s="3" t="inlineStr">
        <is>
          <t>Paris Elementary</t>
        </is>
      </c>
      <c r="B59" s="28" t="n">
        <v>48</v>
      </c>
      <c r="C59" s="28" t="n">
        <v>49.9</v>
      </c>
      <c r="D59" s="28" t="n">
        <v>59.4</v>
      </c>
      <c r="E59" s="28" t="n">
        <v>54.8</v>
      </c>
      <c r="F59" s="28" t="n">
        <v>69.59999999999999</v>
      </c>
      <c r="K59" s="28" t="n">
        <v>46.1</v>
      </c>
      <c r="L59" s="28" t="n">
        <v>45.9</v>
      </c>
      <c r="M59" s="28" t="n">
        <v>40.7</v>
      </c>
      <c r="N59" s="28" t="n">
        <v>41.9</v>
      </c>
    </row>
    <row r="60">
      <c r="A60" s="21" t="inlineStr">
        <is>
          <t>Classifications: NMES rated Proficient 2012-2015 and Distinguished in 2015-16 at 79.1, the county's only Distinguished elementary rating in the files retrieved. In 2023-24 NMES posted 74.5, first in the county by 14 points.</t>
        </is>
      </c>
    </row>
    <row r="62">
      <c r="A62" s="21" t="inlineStr">
        <is>
          <t>Third-party check: the SchoolDigger index above correlates about 0.9 with these official results for Bourbon Central and Cane Ridge but only weakly for NMES, and it names the wrong county leader in three of the ten overlapping years. The official record governs.</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52"/>
  <sheetViews>
    <sheetView showGridLines="1" workbookViewId="0">
      <selection activeCell="A1" sqref="A1"/>
    </sheetView>
  </sheetViews>
  <sheetFormatPr baseColWidth="8" defaultRowHeight="15"/>
  <cols>
    <col width="42" customWidth="1" min="1" max="1"/>
    <col width="12" customWidth="1" min="2" max="2"/>
    <col width="12" customWidth="1" min="3" max="3"/>
    <col width="12" customWidth="1" min="4" max="4"/>
    <col width="12" customWidth="1" min="5" max="5"/>
    <col width="50" customWidth="1" min="6" max="6"/>
  </cols>
  <sheetData>
    <row r="1">
      <c r="A1" s="1" t="inlineStr">
        <is>
          <t>What the District's Own Facility Plans Show</t>
        </is>
      </c>
    </row>
    <row r="2">
      <c r="A2" s="21" t="inlineStr">
        <is>
          <t>Sources: District Facilities Plan, KBE approval June 2013 (Wayback Machine capture) and District Facility Plan, KBE approval August 2021 (currently posted; next plan due June 2025). Both archived in this repository under build/. Figures read enrollment/capacity; the 2021 preschool line (272/200, with the plan's note of 80 full-day plus 192 half-day students) confirms the order.</t>
        </is>
      </c>
    </row>
    <row r="4">
      <c r="A4" s="17" t="inlineStr">
        <is>
          <t>School</t>
        </is>
      </c>
      <c r="B4" s="17" t="inlineStr">
        <is>
          <t>2013 enr</t>
        </is>
      </c>
      <c r="C4" s="17" t="inlineStr">
        <is>
          <t>2013 cap</t>
        </is>
      </c>
      <c r="D4" s="17" t="inlineStr">
        <is>
          <t>2021 enr</t>
        </is>
      </c>
      <c r="E4" s="17" t="inlineStr">
        <is>
          <t>2021 cap</t>
        </is>
      </c>
      <c r="F4" s="17" t="inlineStr">
        <is>
          <t>Note</t>
        </is>
      </c>
    </row>
    <row r="5">
      <c r="A5" s="2" t="inlineStr">
        <is>
          <t>Bourbon County High School</t>
        </is>
      </c>
      <c r="B5" s="10" t="n">
        <v>881</v>
      </c>
      <c r="C5" s="10" t="n">
        <v>637</v>
      </c>
      <c r="D5" s="10" t="n">
        <v>799</v>
      </c>
      <c r="E5" s="10" t="n">
        <v>704</v>
      </c>
      <c r="F5" s="2" t="inlineStr">
        <is>
          <t>Rating rose 637 to 704 between plans; the CTC addition was the 2022-24 in-biennium priority</t>
        </is>
      </c>
    </row>
    <row r="6">
      <c r="A6" s="2" t="inlineStr">
        <is>
          <t>Bourbon County Middle School</t>
        </is>
      </c>
      <c r="B6" s="10" t="n">
        <v>616</v>
      </c>
      <c r="C6" s="10" t="n">
        <v>515</v>
      </c>
      <c r="D6" s="10" t="n">
        <v>640</v>
      </c>
      <c r="E6" s="10" t="n">
        <v>641</v>
      </c>
      <c r="F6" s="2" t="inlineStr"/>
    </row>
    <row r="7">
      <c r="A7" s="2" t="inlineStr">
        <is>
          <t>Bourbon Central Elementary</t>
        </is>
      </c>
      <c r="B7" s="10" t="n">
        <v>602</v>
      </c>
      <c r="C7" s="10" t="n">
        <v>564</v>
      </c>
      <c r="D7" s="10" t="n">
        <v>535</v>
      </c>
      <c r="E7" s="10" t="n">
        <v>521</v>
      </c>
      <c r="F7" s="2" t="inlineStr">
        <is>
          <t>Rated capacity 549, reflecting the addition in the 2021 plan</t>
        </is>
      </c>
    </row>
    <row r="8">
      <c r="A8" s="2" t="inlineStr">
        <is>
          <t>Cane Ridge Elementary</t>
        </is>
      </c>
      <c r="B8" s="10" t="n">
        <v>461</v>
      </c>
      <c r="C8" s="10" t="n">
        <v>500</v>
      </c>
      <c r="D8" s="10" t="n">
        <v>480</v>
      </c>
      <c r="E8" s="10" t="n">
        <v>422</v>
      </c>
      <c r="F8" s="2" t="inlineStr">
        <is>
          <t>Rated capacity written down 78 seats between plans</t>
        </is>
      </c>
    </row>
    <row r="9">
      <c r="A9" s="2" t="inlineStr">
        <is>
          <t>North Middletown Elementary</t>
        </is>
      </c>
      <c r="B9" s="10" t="n">
        <v>169</v>
      </c>
      <c r="C9" s="10" t="n">
        <v>198</v>
      </c>
      <c r="D9" s="10" t="n">
        <v>161</v>
      </c>
      <c r="E9" s="10" t="n">
        <v>174</v>
      </c>
      <c r="F9" s="2" t="inlineStr">
        <is>
          <t>Written down again to 154 in the 2026 draft; building held 261 students at the 1989 peak</t>
        </is>
      </c>
    </row>
    <row r="10">
      <c r="A10" s="2" t="inlineStr">
        <is>
          <t>Preschool/Head Start Center</t>
        </is>
      </c>
      <c r="B10" s="10" t="n">
        <v>296</v>
      </c>
      <c r="C10" s="10" t="n">
        <v>180</v>
      </c>
      <c r="D10" s="10" t="n">
        <v>272</v>
      </c>
      <c r="E10" s="10" t="n">
        <v>200</v>
      </c>
      <c r="F10" s="2" t="inlineStr">
        <is>
          <t>Over capacity in both plans</t>
        </is>
      </c>
    </row>
    <row r="12">
      <c r="A12" s="4" t="inlineStr">
        <is>
          <t>RECEIVING CAPACITY TODAY (current ratings vs 2024-25 enrollment)</t>
        </is>
      </c>
    </row>
    <row r="13">
      <c r="A13" s="3" t="inlineStr">
        <is>
          <t>Bourbon Central open seats at rated 549</t>
        </is>
      </c>
      <c r="B13" s="11">
        <f>549-Redistricting!B8</f>
        <v/>
      </c>
    </row>
    <row r="14">
      <c r="A14" s="3" t="inlineStr">
        <is>
          <t>Cane Ridge students over rated 422</t>
        </is>
      </c>
      <c r="B14" s="11">
        <f>Redistricting!B9-E8</f>
        <v/>
      </c>
    </row>
    <row r="15">
      <c r="A15" s="3" t="inlineStr">
        <is>
          <t>Net uncommitted seats at both receiving schools</t>
        </is>
      </c>
      <c r="B15" s="33">
        <f>B13-B14</f>
        <v/>
      </c>
    </row>
    <row r="16">
      <c r="A16" s="3" t="inlineStr">
        <is>
          <t>NMES students needing seats on closure</t>
        </is>
      </c>
      <c r="B16" s="25">
        <f>Assumptions!B11</f>
        <v/>
      </c>
    </row>
    <row r="17">
      <c r="A17" s="3" t="inlineStr">
        <is>
          <t>Shortfall if closure proceeds today</t>
        </is>
      </c>
      <c r="B17" s="33">
        <f>B16-B15</f>
        <v/>
      </c>
    </row>
    <row r="20">
      <c r="A20" s="4" t="inlineStr">
        <is>
          <t>NMES INVESTMENT RECORD IN THE PLANS</t>
        </is>
      </c>
    </row>
    <row r="21">
      <c r="A21" s="3" t="inlineStr">
        <is>
          <t>2013 plan: NMES major renovation priced (HVAC, media center, kitchen, security vestibule, gym)</t>
        </is>
      </c>
      <c r="B21" s="8" t="n">
        <v>1594872</v>
      </c>
      <c r="C21" s="8" t="n">
        <v>239139</v>
      </c>
      <c r="D21" s="8" t="n">
        <v>86959</v>
      </c>
      <c r="E21" s="9">
        <f>SUM(B21:D21)</f>
        <v/>
      </c>
      <c r="F21" s="2" t="inlineStr">
        <is>
          <t>Base renovation + special ed classroom + family resource center</t>
        </is>
      </c>
    </row>
    <row r="22">
      <c r="A22" s="3" t="inlineStr">
        <is>
          <t>2021 plan: NMES need re-priced (life safety + accessibility ramp/elevator + major renovation)</t>
        </is>
      </c>
      <c r="B22" s="8" t="n">
        <v>317660</v>
      </c>
      <c r="C22" s="8" t="n">
        <v>325000</v>
      </c>
      <c r="D22" s="8" t="n">
        <v>3617530</v>
      </c>
      <c r="E22" s="9">
        <f>SUM(B22:D22)</f>
        <v/>
      </c>
      <c r="F22" s="2" t="inlineStr">
        <is>
          <t>Life safety and accessibility ($642,660) within the 2022-24 biennium; the $3.62M major renovation after it; the biennium's headline priority was the HS Career &amp; Technical Center</t>
        </is>
      </c>
    </row>
    <row r="23">
      <c r="A23" s="3" t="inlineStr">
        <is>
          <t>2021 plan: HS Career &amp; Technical Center, in-biennium new construction</t>
        </is>
      </c>
      <c r="B23" s="9">
        <f>227149+1447694+1150886+1075170+772305+832878+1150886</f>
        <v/>
      </c>
    </row>
    <row r="24">
      <c r="A24" s="3" t="inlineStr">
        <is>
          <t>2021 plan: total district facility need</t>
        </is>
      </c>
      <c r="B24" s="8" t="n">
        <v>43389464</v>
      </c>
    </row>
    <row r="26">
      <c r="A26" s="21" t="inlineStr">
        <is>
          <t>Reading: the receiving schools' rated capacities are 549 (Bourbon Central) and 422 (Cane Ridge). At current enrollment that is 90 open at Bourbon Central and 31 over at Cane Ridge, a net 59 uncommitted seats for 128 children. NMES's major renovation was priced in 2013 and re-priced higher in 2021, each time scheduled after the then-current biennium. Its rated capacity fell 198 to 174 between the same two plans while its enrollment fell 169 to 128.</t>
        </is>
      </c>
    </row>
    <row r="28">
      <c r="A28" s="4" t="inlineStr">
        <is>
          <t>THE 2026 DRAFT (presented July 15, 2026, before the committee's amendment; KDE approval date TBD; KFICS capacity basis)</t>
        </is>
      </c>
    </row>
    <row r="29">
      <c r="A29" s="17" t="inlineStr">
        <is>
          <t>School</t>
        </is>
      </c>
      <c r="B29" s="17" t="inlineStr">
        <is>
          <t>2023-24 SAAR</t>
        </is>
      </c>
      <c r="C29" s="17" t="inlineStr">
        <is>
          <t>Draft capacity (KFICS)</t>
        </is>
      </c>
      <c r="D29" s="17" t="inlineStr">
        <is>
          <t>Change vs 2021 rating</t>
        </is>
      </c>
    </row>
    <row r="30">
      <c r="A30" s="3" t="inlineStr">
        <is>
          <t>Bourbon Central</t>
        </is>
      </c>
      <c r="B30" s="10" t="n">
        <v>491</v>
      </c>
      <c r="C30" s="10" t="n">
        <v>640</v>
      </c>
      <c r="D30" s="11">
        <f>C30-549</f>
        <v/>
      </c>
    </row>
    <row r="31">
      <c r="A31" s="3" t="inlineStr">
        <is>
          <t>Cane Ridge</t>
        </is>
      </c>
      <c r="B31" s="10" t="n">
        <v>461</v>
      </c>
      <c r="C31" s="10" t="n">
        <v>547</v>
      </c>
      <c r="D31" s="11">
        <f>C31-E8</f>
        <v/>
      </c>
    </row>
    <row r="32">
      <c r="A32" s="3" t="inlineStr">
        <is>
          <t>North Middletown</t>
        </is>
      </c>
      <c r="B32" s="25" t="n">
        <v>128</v>
      </c>
      <c r="C32" s="10" t="n">
        <v>154</v>
      </c>
      <c r="D32" s="11">
        <f>C32-E9</f>
        <v/>
      </c>
    </row>
    <row r="33">
      <c r="A33" s="3" t="inlineStr">
        <is>
          <t>Paper seats added at the receiving schools, with the draft's new-construction sections reading None</t>
        </is>
      </c>
      <c r="B33" s="33">
        <f>D30+D31</f>
        <v/>
      </c>
    </row>
    <row r="34">
      <c r="A34" s="3" t="inlineStr">
        <is>
          <t>NMES fill rate even at the draft's own 154 rating</t>
        </is>
      </c>
      <c r="B34" s="34">
        <f>B32/C32</f>
        <v/>
      </c>
    </row>
    <row r="35">
      <c r="A35" s="21" t="inlineStr">
        <is>
          <t>As presented, the draft still listed North Middletown as Permanent (PS-5). Its headline 2026-28 priority is an $18,600,946 major renovation of the high school's 1968 and 1981 sections. Annotated attendee copy archived as build/dfp_2026_draft_excerpt.png.</t>
        </is>
      </c>
    </row>
    <row r="37">
      <c r="A37" s="4" t="inlineStr">
        <is>
          <t>KFICS ASSESSMENT (RossTarrant Architects, presented July 2026; slides archived as build/kfics_assessment.pdf)</t>
        </is>
      </c>
    </row>
    <row r="38">
      <c r="A38" s="17" t="inlineStr">
        <is>
          <t>Facility</t>
        </is>
      </c>
      <c r="B38" s="17" t="inlineStr">
        <is>
          <t>Condition need</t>
        </is>
      </c>
      <c r="C38" s="17" t="inlineStr">
        <is>
          <t>Instructional deficiency</t>
        </is>
      </c>
      <c r="D38" s="17" t="inlineStr">
        <is>
          <t>Total (as printed)</t>
        </is>
      </c>
      <c r="E38" s="17" t="inlineStr">
        <is>
          <t>Slide capacity</t>
        </is>
      </c>
    </row>
    <row r="39">
      <c r="A39" s="3" t="inlineStr">
        <is>
          <t>Bourbon County High School</t>
        </is>
      </c>
      <c r="B39" s="8" t="n">
        <v>22300342</v>
      </c>
      <c r="C39" s="8" t="n">
        <v>5188113</v>
      </c>
      <c r="D39" s="8" t="n">
        <v>27488455</v>
      </c>
      <c r="E39" s="10" t="n">
        <v>704</v>
      </c>
    </row>
    <row r="40">
      <c r="A40" s="3" t="inlineStr">
        <is>
          <t>Bourbon County Middle School</t>
        </is>
      </c>
      <c r="B40" s="8" t="n">
        <v>19132586</v>
      </c>
      <c r="C40" s="8" t="n">
        <v>3286105</v>
      </c>
      <c r="D40" s="8" t="n">
        <v>22418692</v>
      </c>
      <c r="E40" s="10" t="n">
        <v>544</v>
      </c>
    </row>
    <row r="41">
      <c r="A41" s="3" t="inlineStr">
        <is>
          <t>Cane Ridge Elementary</t>
        </is>
      </c>
      <c r="B41" s="8" t="n">
        <v>10313658</v>
      </c>
      <c r="C41" s="8" t="n">
        <v>4073936</v>
      </c>
      <c r="D41" s="8" t="n">
        <v>14387595</v>
      </c>
      <c r="E41" s="10" t="n">
        <v>397</v>
      </c>
    </row>
    <row r="42">
      <c r="A42" s="3" t="inlineStr">
        <is>
          <t>Bourbon Central Elementary</t>
        </is>
      </c>
      <c r="B42" s="8" t="n">
        <v>7214895</v>
      </c>
      <c r="C42" s="8" t="n">
        <v>1615951</v>
      </c>
      <c r="D42" s="8" t="n">
        <v>8840267</v>
      </c>
      <c r="E42" s="10" t="n">
        <v>499</v>
      </c>
    </row>
    <row r="43">
      <c r="A43" s="3" t="inlineStr">
        <is>
          <t>North Middletown Elementary</t>
        </is>
      </c>
      <c r="B43" s="8" t="n">
        <v>5648434</v>
      </c>
      <c r="C43" s="8" t="n">
        <v>2881659</v>
      </c>
      <c r="D43" s="8" t="n">
        <v>8530093</v>
      </c>
      <c r="E43" s="10" t="n">
        <v>154</v>
      </c>
    </row>
    <row r="44">
      <c r="A44" s="3" t="inlineStr">
        <is>
          <t>Preschool/Head Start Center</t>
        </is>
      </c>
      <c r="B44" s="8" t="n">
        <v>1518664</v>
      </c>
      <c r="C44" s="8" t="n">
        <v>6343032</v>
      </c>
      <c r="D44" s="8" t="n">
        <v>7861696</v>
      </c>
      <c r="E44" s="10" t="n">
        <v>160</v>
      </c>
    </row>
    <row r="45">
      <c r="A45" s="3" t="inlineStr">
        <is>
          <t>Agriculture Building (part of BCHS)</t>
        </is>
      </c>
      <c r="B45" s="8" t="n">
        <v>1825444</v>
      </c>
      <c r="C45" s="8" t="n">
        <v>0</v>
      </c>
      <c r="D45" s="8" t="n">
        <v>1825444</v>
      </c>
    </row>
    <row r="46">
      <c r="A46" s="3" t="inlineStr">
        <is>
          <t>School centers total</t>
        </is>
      </c>
      <c r="B46" s="23">
        <f>SUM(D39:D45)</f>
        <v/>
      </c>
    </row>
    <row r="47">
      <c r="A47" s="3" t="inlineStr">
        <is>
          <t>Support facilities total (slide)</t>
        </is>
      </c>
      <c r="B47" s="8" t="n">
        <v>7089052</v>
      </c>
    </row>
    <row r="48">
      <c r="A48" s="3" t="inlineStr">
        <is>
          <t>District total need</t>
        </is>
      </c>
      <c r="B48" s="23">
        <f>B46+B47</f>
        <v/>
      </c>
    </row>
    <row r="49">
      <c r="A49" s="3" t="inlineStr">
        <is>
          <t>Receiving schools combined (Bourbon Central + Cane Ridge)</t>
        </is>
      </c>
      <c r="B49" s="23">
        <f>D41+D42</f>
        <v/>
      </c>
    </row>
    <row r="50">
      <c r="A50" s="3" t="inlineStr">
        <is>
          <t>Net receiving seats at the slides' own capacities (499 and 397)</t>
        </is>
      </c>
      <c r="B50" s="33">
        <f>(499-Redistricting!B8)-(Redistricting!B9-397)</f>
        <v/>
      </c>
    </row>
    <row r="52">
      <c r="A52" s="21" t="inlineStr">
        <is>
          <t>Notes: components and totals as printed on the slides; Bourbon Central's printed components sum $9,421 below its printed total. The slides' receiving-school capacities (499, 397) differ from the 2026 draft DFP table (640, 547) and from the approved 2021 plan (549 with addition, 422): three documents, three capacity sets for the same buildings. NMES total need is second lowest among the district's schools.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2026-07-25T15:02:15Z</dcterms:created>
  <dcterms:modified xsi:type="dcterms:W3CDTF">2026-07-25T15:02:15Z</dcterms:modified>
</cp:coreProperties>
</file>