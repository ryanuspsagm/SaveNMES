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B17+C17+Closure_Model!C40+3*54479.4-63000-167*(Assumptions!B6+500-Assumptions!B62)</f>
        <v/>
      </c>
      <c r="F34" s="21">
        <f> $127,039 kept, plus half the fixed overhead positions ($107,052, Closure_Model C40) and three teachers at $54,479.40, minus $63,000 of busing, minus the statistical median of 167 missing students at $5,136 less the $400 supplies credit: the published -$456,383, which is also the weighted median of the 1,296-scenario grid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1,296-scenario grid at row 37, median a $456,383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1,296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74/137/167/194)</t>
        </is>
      </c>
      <c r="B43" s="10" t="n">
        <v>74</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The floor is the grid's low end: fewer leavers than the signed households account for is not a priced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-$415,542: the central case itself loses money, about 16 percent of the structural deficit added, not removed</t>
        </is>
      </c>
    </row>
    <row r="48">
      <c r="A48" s="3" t="inlineStr">
        <is>
          <t>Unfavorable tail (all levers adverse)</t>
        </is>
      </c>
      <c r="B48" s="9">
        <f>B39+B40+B41*54479.4-D42-D43*(Assumptions!B6+D44-Assumptions!B62)</f>
        <v/>
      </c>
      <c r="C48" s="2" t="inlineStr">
        <is>
          <t>-$1,057,265 a year: the closure loses money</t>
        </is>
      </c>
    </row>
    <row r="49">
      <c r="A49" s="3" t="inlineStr">
        <is>
          <t>Favorable tail (all levers favorable)</t>
        </is>
      </c>
      <c r="B49" s="9">
        <f>D39+D40+D41*54479.4-B42-B43*(Assumptions!B6+B44-Assumptions!B62)</f>
        <v/>
      </c>
      <c r="C49" s="2" t="inlineStr">
        <is>
          <t>+$171,118 a year: the grid's best case (every lever at its closure-friendliest, only the survey-floor leavers the signed households account for), still below the plan's $800K-$1M requirement</t>
        </is>
      </c>
    </row>
    <row r="50">
      <c r="A50" s="21" t="inlineStr">
        <is>
          <t>Distribution of all 1,296 combinations enumerated by build/closure_grid.py: capture, fixed-position, add-ons and busing levers take three values each, teachers four (0/1/2/3) and missing students four (74/137/167/194): 3^4 x 4 x 4 = 1,296.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v5.0 lever weights: triangular 1-2-1 on the four levers with a documented central setting; uniform on teachers; survey-anchored 2-2-2-1 on missing students, the signed-survey floor held as the low end. Weighted median -$456,383 (the median scenario LOSES money, and the website default IS this median scenario); middle half -$606,202 to -$241,706; 97 percent of weighted scenarios negative; range -$1,057,265 to +$171,118 (unweighted median -$488,532).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97 percent of priced closure scenarios lose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$1,057,265 to plus $171,118 with a weighted median of minus $456,383,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-$456,383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(-$415,542); the weighted median loses $456,383</t>
        </is>
      </c>
    </row>
    <row r="47">
      <c r="A47" s="3" t="inlineStr">
        <is>
          <t>Closure model median (v5.0 weighted grid)</t>
        </is>
      </c>
      <c r="B47" s="8" t="n">
        <v>-456383</v>
      </c>
      <c r="C47" s="9">
        <f>B47*(1-(1+B$40)^-B$41)/B$40</f>
        <v/>
      </c>
      <c r="F47" s="21" t="inlineStr">
        <is>
          <t>Closure_Model tab, 1,296-combination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+$171,118 best case FY2029 holds a modest cushion; at the -$456,383 weighted median the reserves go MUCH faster than status quo; 97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-456383</v>
      </c>
      <c r="C6" s="9">
        <f>Runway!E7</f>
        <v/>
      </c>
      <c r="D6" s="2" t="inlineStr">
        <is>
          <t>Unpublished</t>
        </is>
      </c>
      <c r="E6" s="2" t="inlineStr">
        <is>
          <t>Closure vote; the weighted median LOSES $456,383 a year (B6 is the grid median; the legacy single-point Closure_Model!B20 is superseded); the grid central case itself loses $415,542, and even the +$171,118 best-case tail covers only 6.5%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-456383/Assumptions!B11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2026-08-17T20:39:58Z</dcterms:created>
  <dcterms:modified xmlns:dcterms="http://purl.org/dc/terms/" xmlns:xsi="http://www.w3.org/2001/XMLSchema-instance" xsi:type="dcterms:W3CDTF">2026-08-17T20:39:58Z</dcterms:modified>
</cp:coreProperties>
</file>