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B17+C17+Closure_Model!C40+3*54479.4-63000-167*(Assumptions!B6+500-Assumptions!B62)</f>
        <v/>
      </c>
      <c r="F34" s="21">
        <f> $127,039 kept, plus half the fixed overhead positions ($107,052, Closure_Model C40) and three teachers at $54,479.40, minus $63,000 of busing, minus the statistical median of 167 missing students at $5,136 less the $400 supplies credit: the published -$456,383, the 77th percentile of the 972-scenario grid; the weighted median is a $571,883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$571,883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137/167/194)</t>
        </is>
      </c>
      <c r="B43" s="8" t="n">
        <v>137</v>
      </c>
      <c r="C43" s="8" t="n">
        <v>167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25th/50th/75th percentiles at the class midpoint, triangular with the median central. The signed-survey floor of 74 (31 households, 70 children, 5.83 per class x 12.62 effective years) sits below every priced leg and is kept as hard evidence, not as a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-$557,622: the central case itself loses money, about 21 percent of the structural deficit added, not removed</t>
        </is>
      </c>
    </row>
    <row r="48">
      <c r="A48" s="3" t="inlineStr">
        <is>
          <t>Unfavorable tail (all levers adverse)</t>
        </is>
      </c>
      <c r="B48" s="9">
        <f>B39+B40+B41*54479.4-D42-D43*(Assumptions!B6+D44-Assumptions!B62)</f>
        <v/>
      </c>
      <c r="C48" s="2" t="inlineStr">
        <is>
          <t>-$1,057,265 a year: the closure loses money</t>
        </is>
      </c>
    </row>
    <row r="49">
      <c r="A49" s="3" t="inlineStr">
        <is>
          <t>Favorable tail (all levers favorable)</t>
        </is>
      </c>
      <c r="B49" s="9">
        <f>D39+D40+D41*54479.4-B42-B43*(Assumptions!B6+B44-Assumptions!B62)</f>
        <v/>
      </c>
      <c r="C49" s="2" t="inlineStr">
        <is>
          <t>-$95,750 a year: even the grid's best case (every lever at its closure-friendliest, the band's low leg of 137 leavers) loses money, roughly $900,000 to $1.1 million short of the plan's $800K-$1M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(137/167/194), with the signed-survey floor of 74 kept as hard evidence below every priced leg. v5.0 lever weights: triangular 1-2-1 on every three-leg lever, uniform on teachers. Weighted median -$571,883 (the median scenario LOSES money); middle half -$679,361 to -$467,862; EVERY weighted scenario is negative, the best case still loses $95,750; range -$1,057,265 to -$95,750 (unweighted median -$566,628).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$1,057,265 to minus $95,750 with a weighted median of minus $571,883,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-$571,883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(-$557,622); the weighted median loses $571,883</t>
        </is>
      </c>
    </row>
    <row r="47">
      <c r="A47" s="3" t="inlineStr">
        <is>
          <t>Closure model median (v5.0 weighted grid)</t>
        </is>
      </c>
      <c r="B47" s="8" t="n">
        <v>-571883</v>
      </c>
      <c r="C47" s="9">
        <f>B47*(1-(1+B$40)^-B$41)/B$40</f>
        <v/>
      </c>
      <c r="F47" s="21" t="inlineStr">
        <is>
          <t>Closure_Model tab, 972-combination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-$95,750 best case drains reserves faster than status quo, the -$571,883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-571883</v>
      </c>
      <c r="C6" s="9">
        <f>Runway!E7</f>
        <v/>
      </c>
      <c r="D6" s="2" t="inlineStr">
        <is>
          <t>Unpublished</t>
        </is>
      </c>
      <c r="E6" s="2" t="inlineStr">
        <is>
          <t>Closure vote; the weighted median LOSES $571,883 a year (B6 is the grid median; the legacy single-point Closure_Model!B20 is superseded); the grid central case itself loses $557,622, and even the best-case tail still loses $95,750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-571883/Assumptions!B11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2026-08-18T00:16:39Z</dcterms:created>
  <dcterms:modified xmlns:dcterms="http://purl.org/dc/terms/" xmlns:xsi="http://www.w3.org/2001/XMLSchema-instance" xsi:type="dcterms:W3CDTF">2026-08-18T00:16:39Z</dcterms:modified>
</cp:coreProperties>
</file>