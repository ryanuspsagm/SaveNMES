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GF_Summary" sheetId="3" state="visible" r:id="rId3"/>
    <sheet name="Closure_Model" sheetId="4" state="visible" r:id="rId4"/>
    <sheet name="Growth_Model" sheetId="5" state="visible" r:id="rId5"/>
    <sheet name="Redistricting" sheetId="6" state="visible" r:id="rId6"/>
    <sheet name="Transport_Geo" sheetId="7" state="visible" r:id="rId7"/>
    <sheet name="Alternatives" sheetId="8" state="visible" r:id="rId8"/>
    <sheet name="Debt_Service" sheetId="9" state="visible" r:id="rId9"/>
    <sheet name="Runway" sheetId="10" state="visible" r:id="rId10"/>
    <sheet name="Tax_History" sheetId="11" state="visible" r:id="rId11"/>
    <sheet name="Demographics" sheetId="12" state="visible" r:id="rId12"/>
    <sheet name="School_Data" sheetId="13" state="visible" r:id="rId13"/>
  </sheets>
  <definedNames/>
  <calcPr calcId="124519" fullCalcOnLoad="1"/>
</workbook>
</file>

<file path=xl/styles.xml><?xml version="1.0" encoding="utf-8"?>
<styleSheet xmlns="http://schemas.openxmlformats.org/spreadsheetml/2006/main">
  <numFmts count="4">
    <numFmt numFmtId="164" formatCode="$#,##0;($#,##0);&quot;-&quot;"/>
    <numFmt numFmtId="165" formatCode="#,##0;(#,##0);&quot;-&quot;"/>
    <numFmt numFmtId="166" formatCode="0.0%"/>
    <numFmt numFmtId="167" formatCode="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color rgb="00FFFFFF"/>
      <sz val="11"/>
    </font>
    <font>
      <name val="Arial"/>
      <b val="1"/>
      <sz val="10"/>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0" fontId="7" fillId="3" borderId="0" pivotButton="0" quotePrefix="0" xfId="0"/>
    <xf numFmtId="164" fontId="6" fillId="0" borderId="0" pivotButton="0" quotePrefix="0" xfId="0"/>
    <xf numFmtId="166" fontId="3" fillId="0" borderId="0" pivotButton="0" quotePrefix="0" xfId="0"/>
    <xf numFmtId="167" fontId="3" fillId="0" borderId="0" pivotButton="0" quotePrefix="0" xfId="0"/>
    <xf numFmtId="0" fontId="2" fillId="0" borderId="0" applyAlignment="1" pivotButton="0" quotePrefix="0" xfId="0">
      <alignment vertical="top" wrapText="1"/>
    </xf>
    <xf numFmtId="0" fontId="8" fillId="0" borderId="0" pivotButton="0" quotePrefix="0" xfId="0"/>
    <xf numFmtId="164" fontId="8" fillId="0" borderId="0" pivotButton="0" quotePrefix="0" xfId="0"/>
    <xf numFmtId="164" fontId="8" fillId="0" borderId="1" pivotButton="0" quotePrefix="0" xfId="0"/>
    <xf numFmtId="165" fontId="6" fillId="0" borderId="0" pivotButton="0" quotePrefix="0" xfId="0"/>
    <xf numFmtId="1" fontId="3" fillId="0" borderId="0" pivotButton="0" quotePrefix="0" xfId="0"/>
    <xf numFmtId="2" fontId="5" fillId="2" borderId="0" pivotButton="0" quotePrefix="0" xfId="0"/>
    <xf numFmtId="167" fontId="5" fillId="0" borderId="0" pivotButton="0" quotePrefix="0" xfId="0"/>
    <xf numFmtId="2" fontId="3" fillId="0" borderId="0" pivotButton="0" quotePrefix="0" xfId="0"/>
    <xf numFmtId="164"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8"/>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July 2026 report 'A Deep Dive into Bourbon County Schools' (Bourbon County, Kentucky)</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Multi-year school scores and NMES enrollment history: School_Data tab (backs report Figures 6, 7, and 11).</t>
        </is>
      </c>
    </row>
    <row r="20">
      <c r="A20" s="2" t="inlineStr">
        <is>
          <t xml:space="preserve">  County demographics and the full 1989-2025 NMES enrollment series: Demographics tab (backs Section 9 and Figure 11).</t>
        </is>
      </c>
    </row>
    <row r="21">
      <c r="A21" s="2" t="inlineStr">
        <is>
          <t xml:space="preserve">  Tax rates, fund split, delinquency check, and the 4% three-year path: Tax_History tab (backs Figure 15).</t>
        </is>
      </c>
    </row>
    <row r="22">
      <c r="A22" s="2" t="inlineStr">
        <is>
          <t xml:space="preserve">  Boundary rebalancing and fill-to-capacity scenario: Redistricting tab (backs the Section 9 worked example and Figure 12).</t>
        </is>
      </c>
    </row>
    <row r="23">
      <c r="A23" s="2" t="inlineStr">
        <is>
          <t xml:space="preserve">  Bonding capacity components and what closure can and cannot change: Debt_Service tab (backs Section 6).</t>
        </is>
      </c>
    </row>
    <row r="24">
      <c r="A24" s="2" t="inlineStr">
        <is>
          <t xml:space="preserve">  Student density, route-mile math, and busing cost scenarios: Transport_Geo tab (backs Section 9).</t>
        </is>
      </c>
    </row>
    <row r="25">
      <c r="A25" s="3" t="inlineStr"/>
    </row>
    <row r="26">
      <c r="A26" s="4" t="inlineStr">
        <is>
          <t>CAVEAT</t>
        </is>
      </c>
    </row>
    <row r="27">
      <c r="A27" s="3" t="inlineStr">
        <is>
          <t>Prepared by a former NMES King working alongside Claude, an AI research assistant from Anthropic. Estimates are labeled; every figure</t>
        </is>
      </c>
    </row>
    <row r="28">
      <c r="A28" s="3" t="inlineStr">
        <is>
          <t>should be re-verified against the cited primary sources before 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7"/>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Principal &amp; office costs avoided</t>
        </is>
      </c>
      <c r="B51" s="14" t="n">
        <v>175000</v>
      </c>
      <c r="C51" s="2" t="inlineStr">
        <is>
          <t>Estimate</t>
        </is>
      </c>
    </row>
    <row r="52">
      <c r="A52" s="3" t="inlineStr">
        <is>
          <t>Plant/utilities/insurance avoided, net of carrying cost</t>
        </is>
      </c>
      <c r="B52" s="14" t="n">
        <v>115000</v>
      </c>
      <c r="C52" s="2" t="inlineStr">
        <is>
          <t>Estimate; assumes building sold or repurposed</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17" t="inlineStr"/>
      <c r="B3" s="17" t="inlineStr">
        <is>
          <t>FY2023</t>
        </is>
      </c>
      <c r="C3" s="17" t="inlineStr">
        <is>
          <t>FY2024</t>
        </is>
      </c>
      <c r="D3" s="17" t="inlineStr">
        <is>
          <t>FY2025</t>
        </is>
      </c>
    </row>
    <row r="4">
      <c r="A4" s="3" t="inlineStr">
        <is>
          <t>Revenues before transfers</t>
        </is>
      </c>
      <c r="B4" s="18">
        <f>Assumptions!B19</f>
        <v/>
      </c>
      <c r="C4" s="18">
        <f>Assumptions!B20</f>
        <v/>
      </c>
      <c r="D4" s="18">
        <f>Assumptions!B21</f>
        <v/>
      </c>
    </row>
    <row r="5">
      <c r="A5" s="3" t="inlineStr">
        <is>
          <t>Expenditures before transfers</t>
        </is>
      </c>
      <c r="B5" s="18">
        <f>Assumptions!B22</f>
        <v/>
      </c>
      <c r="C5" s="18">
        <f>Assumptions!B23</f>
        <v/>
      </c>
      <c r="D5" s="18">
        <f>Assumptions!B24</f>
        <v/>
      </c>
    </row>
    <row r="6">
      <c r="A6" s="3" t="inlineStr">
        <is>
          <t>Operating result before transfers</t>
        </is>
      </c>
      <c r="B6" s="9">
        <f>B4-B5</f>
        <v/>
      </c>
      <c r="C6" s="9">
        <f>C4-C5</f>
        <v/>
      </c>
      <c r="D6" s="9">
        <f>D4-D5</f>
        <v/>
      </c>
    </row>
    <row r="7">
      <c r="A7" s="3" t="inlineStr">
        <is>
          <t>Net transfers &amp; other sources</t>
        </is>
      </c>
      <c r="C7" s="18">
        <f>Assumptions!B25</f>
        <v/>
      </c>
      <c r="D7" s="18">
        <f>Assumptions!B26</f>
        <v/>
      </c>
    </row>
    <row r="8">
      <c r="A8" s="3" t="inlineStr">
        <is>
          <t>Change in fund balance</t>
        </is>
      </c>
      <c r="C8" s="9">
        <f>C6+C7</f>
        <v/>
      </c>
      <c r="D8" s="9">
        <f>D6+D7</f>
        <v/>
      </c>
    </row>
    <row r="9">
      <c r="A9" s="3" t="inlineStr">
        <is>
          <t>Ending fund balance</t>
        </is>
      </c>
      <c r="B9" s="18">
        <f>Assumptions!B27</f>
        <v/>
      </c>
      <c r="C9" s="18">
        <f>Assumptions!B28</f>
        <v/>
      </c>
      <c r="D9" s="18">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9">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0">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5"/>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18">
        <f>Assumptions!B14*Assumptions!B11</f>
        <v/>
      </c>
    </row>
    <row r="7">
      <c r="A7" s="3" t="inlineStr">
        <is>
          <t>State/local share of site spending</t>
        </is>
      </c>
      <c r="B7" s="18">
        <f>Assumptions!B15*Assumptions!B11</f>
        <v/>
      </c>
    </row>
    <row r="9">
      <c r="A9" s="4" t="inlineStr">
        <is>
          <t>RECURRING SAVINGS (costs that truly disappear)</t>
        </is>
      </c>
    </row>
    <row r="10">
      <c r="A10" s="3" t="inlineStr">
        <is>
          <t>Principal &amp; office</t>
        </is>
      </c>
      <c r="B10" s="18">
        <f>Assumptions!B51</f>
        <v/>
      </c>
    </row>
    <row r="11">
      <c r="A11" s="3" t="inlineStr">
        <is>
          <t>Plant, utilities, insurance (net of carrying cost)</t>
        </is>
      </c>
      <c r="B11" s="18">
        <f>Assumptions!B52</f>
        <v/>
      </c>
    </row>
    <row r="12">
      <c r="A12" s="3" t="inlineStr">
        <is>
          <t>Teaching positions eliminated (via attrition)</t>
        </is>
      </c>
      <c r="B12" s="18">
        <f>Assumptions!B53*Assumptions!B41</f>
        <v/>
      </c>
    </row>
    <row r="13">
      <c r="A13" s="22" t="inlineStr">
        <is>
          <t>Gross avoidable cost</t>
        </is>
      </c>
      <c r="B13" s="23">
        <f>SUM(B10:B12)</f>
        <v/>
      </c>
    </row>
    <row r="15">
      <c r="A15" s="4" t="inlineStr">
        <is>
          <t>RECURRING OFFSETS (new costs and lost revenue)</t>
        </is>
      </c>
    </row>
    <row r="16">
      <c r="A16" s="3" t="inlineStr">
        <is>
          <t>Added busing</t>
        </is>
      </c>
      <c r="B16" s="18">
        <f>Assumptions!B54</f>
        <v/>
      </c>
    </row>
    <row r="17">
      <c r="A17" s="3" t="inlineStr">
        <is>
          <t>SEEK revenue lost to departing students (FY2027 base)</t>
        </is>
      </c>
      <c r="B17" s="18">
        <f>Assumptions!B55*Assumptions!B6</f>
        <v/>
      </c>
    </row>
    <row r="18">
      <c r="A18" s="22" t="inlineStr">
        <is>
          <t>Total offsets</t>
        </is>
      </c>
      <c r="B18" s="23">
        <f>SUM(B16:B17)</f>
        <v/>
      </c>
    </row>
    <row r="20">
      <c r="A20" s="22" t="inlineStr">
        <is>
          <t>NET RECURRING GENERAL FUND SAVING</t>
        </is>
      </c>
      <c r="B20" s="24">
        <f>B13-B18</f>
        <v/>
      </c>
    </row>
    <row r="21">
      <c r="A21" s="3" t="inlineStr">
        <is>
          <t>As a share of the FY2025 structural deficit</t>
        </is>
      </c>
      <c r="B21" s="19">
        <f>B20/(Assumptions!B24-Assumptions!B21)</f>
        <v/>
      </c>
    </row>
    <row r="22">
      <c r="A22" s="3" t="inlineStr">
        <is>
          <t>One-time transition cost (year one)</t>
        </is>
      </c>
      <c r="B22" s="18">
        <f>Assumptions!B56</f>
        <v/>
      </c>
    </row>
    <row r="24">
      <c r="A24" s="4" t="inlineStr">
        <is>
          <t>SENSITIVITY: STUDENTS LEAVING THE DISTRICT</t>
        </is>
      </c>
    </row>
    <row r="25">
      <c r="A25" s="22" t="inlineStr">
        <is>
          <t>Students leaving</t>
        </is>
      </c>
      <c r="B25" s="22"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DISTRICT-FAVORABLE CASE (red-team): 5 positions cut, low busing, no departures</t>
        </is>
      </c>
    </row>
    <row r="34">
      <c r="A34" s="3" t="inlineStr">
        <is>
          <t>Net recurring saving, favorable case</t>
        </is>
      </c>
      <c r="B34" s="18">
        <f>Assumptions!B51+Assumptions!B52+Assumptions!B66*Assumptions!B41-Assumptions!B67</f>
        <v/>
      </c>
    </row>
    <row r="35">
      <c r="A35" s="3" t="inlineStr">
        <is>
          <t>As a share of the FY2025 structural deficit</t>
        </is>
      </c>
      <c r="B35" s="19">
        <f>B34/(Assumptions!B24-Assumptions!B21)</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5"/>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t>
        </is>
      </c>
    </row>
    <row r="2">
      <c r="A2" s="2" t="inlineStr">
        <is>
          <t>SEEK funding follows nonresident students since July 2022; no agreement from the home district is required.</t>
        </is>
      </c>
    </row>
    <row r="4">
      <c r="A4" s="17" t="inlineStr"/>
      <c r="B4" s="17" t="inlineStr">
        <is>
          <t>FY2027</t>
        </is>
      </c>
      <c r="C4" s="17" t="inlineStr">
        <is>
          <t>FY2028</t>
        </is>
      </c>
      <c r="D4" s="17" t="inlineStr">
        <is>
          <t>FY2029</t>
        </is>
      </c>
    </row>
    <row r="5">
      <c r="A5" s="3" t="inlineStr">
        <is>
          <t>Transfer students (scenario)</t>
        </is>
      </c>
      <c r="B5" s="25">
        <f>Assumptions!B59</f>
        <v/>
      </c>
      <c r="C5" s="25">
        <f>Assumptions!B60</f>
        <v/>
      </c>
      <c r="D5" s="25">
        <f>Assumptions!B61</f>
        <v/>
      </c>
    </row>
    <row r="6">
      <c r="A6" s="3" t="inlineStr">
        <is>
          <t>Enrolled (capped at open seats)</t>
        </is>
      </c>
      <c r="B6" s="11">
        <f>MIN(B5,Assumptions!$B$13)</f>
        <v/>
      </c>
      <c r="C6" s="11">
        <f>MIN(C5,Assumptions!$B$13)</f>
        <v/>
      </c>
      <c r="D6" s="11">
        <f>MIN(D5,Assumptions!$B$13)</f>
        <v/>
      </c>
    </row>
    <row r="7">
      <c r="A7" s="3" t="inlineStr">
        <is>
          <t>SEEK base per pupil</t>
        </is>
      </c>
      <c r="B7" s="18">
        <f>Assumptions!B6</f>
        <v/>
      </c>
      <c r="C7" s="18">
        <f>Assumptions!B7</f>
        <v/>
      </c>
      <c r="D7" s="18">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IF(B6&gt;Assumptions!$B$63,Assumptions!$B$41,0)</f>
        <v/>
      </c>
      <c r="C10" s="9">
        <f>IF(C6&gt;Assumptions!$B$63,Assumptions!$B$41,0)</f>
        <v/>
      </c>
      <c r="D10" s="9">
        <f>IF(D6&gt;Assumptions!$B$63,Assumptions!$B$41,0)</f>
        <v/>
      </c>
    </row>
    <row r="11">
      <c r="A11" s="22" t="inlineStr">
        <is>
          <t>Net new recurring revenue</t>
        </is>
      </c>
      <c r="B11" s="24">
        <f>B8-B9-B10</f>
        <v/>
      </c>
      <c r="C11" s="24">
        <f>C8-C9-C10</f>
        <v/>
      </c>
      <c r="D11" s="24">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43"/>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district holds the geocoded student counts and routing data a true optimization needs; releasing them is a records ask in the report.</t>
        </is>
      </c>
    </row>
    <row r="4">
      <c r="A4" s="4" t="inlineStr">
        <is>
          <t>CURRENT ELEMENTARY MAP (2024-25 counts as cited in report Sections 4 and 9)</t>
        </is>
      </c>
    </row>
    <row r="5">
      <c r="A5" s="3" t="inlineStr">
        <is>
          <t>NMES enrollment</t>
        </is>
      </c>
      <c r="B5" s="25">
        <f>Assumptions!B11</f>
        <v/>
      </c>
    </row>
    <row r="6">
      <c r="A6" s="3" t="inlineStr">
        <is>
          <t>NMES rated capacity</t>
        </is>
      </c>
      <c r="B6" s="25">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classroom sections</t>
        </is>
      </c>
      <c r="B20" s="10" t="n">
        <v>9</v>
      </c>
      <c r="C20" s="2" t="inlineStr">
        <is>
          <t>9.41 classroom FTE, NCES; K-5 across nine homerooms</t>
        </is>
      </c>
    </row>
    <row r="21">
      <c r="A21" s="3" t="inlineStr">
        <is>
          <t>Average class size today</t>
        </is>
      </c>
      <c r="B21" s="20">
        <f>B5/B20</f>
        <v/>
      </c>
    </row>
    <row r="22">
      <c r="A22" s="3" t="inlineStr">
        <is>
          <t>Average class size at capacity</t>
        </is>
      </c>
      <c r="B22" s="20">
        <f>B14/B20</f>
        <v/>
      </c>
    </row>
    <row r="23">
      <c r="A23" s="2" t="inlineStr">
        <is>
          <t>Statutory caps (KRS 157.360): 24 in K-3, 28 in grade 4, 29 in grades 5-6. The scenario adds no NMES teachers.</t>
        </is>
      </c>
    </row>
    <row r="25">
      <c r="A25" s="4" t="inlineStr">
        <is>
          <t>RECURRING DOLLARS</t>
        </is>
      </c>
    </row>
    <row r="26">
      <c r="A26" s="3" t="inlineStr">
        <is>
          <t>New SEEK revenue from cross-county transfers (FY2027 base)</t>
        </is>
      </c>
      <c r="B26" s="18">
        <f>B13*Assumptions!B6</f>
        <v/>
      </c>
    </row>
    <row r="27">
      <c r="A27" s="3" t="inlineStr">
        <is>
          <t>Variable cost of all added students</t>
        </is>
      </c>
      <c r="B27" s="18">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2" t="inlineStr">
        <is>
          <t>Net recurring benefit, low</t>
        </is>
      </c>
      <c r="B30" s="24">
        <f>B26-B27+B28*Assumptions!B41</f>
        <v/>
      </c>
    </row>
    <row r="31">
      <c r="A31" s="22" t="inlineStr">
        <is>
          <t>Net recurring benefit, high</t>
        </is>
      </c>
      <c r="B31" s="23">
        <f>B26-B27+B29*Assumptions!B41</f>
        <v/>
      </c>
    </row>
    <row r="33">
      <c r="A33" s="4" t="inlineStr">
        <is>
          <t>PER-STUDENT ARITHMETIC (the number the closure argument leans on)</t>
        </is>
      </c>
    </row>
    <row r="34">
      <c r="A34" s="3" t="inlineStr">
        <is>
          <t>NMES site spending today</t>
        </is>
      </c>
      <c r="B34" s="18">
        <f>Assumptions!B14*Assumptions!B11</f>
        <v/>
      </c>
    </row>
    <row r="35">
      <c r="A35" s="3" t="inlineStr">
        <is>
          <t>Per student today</t>
        </is>
      </c>
      <c r="B35" s="18">
        <f>Assumptions!B14</f>
        <v/>
      </c>
    </row>
    <row r="36">
      <c r="A36" s="3" t="inlineStr">
        <is>
          <t>Per student at capacity (site cost plus variable cost, over 174)</t>
        </is>
      </c>
      <c r="B36" s="9">
        <f>(B34+(B12+B13)*Assumptions!B62)/B14</f>
        <v/>
      </c>
    </row>
    <row r="37">
      <c r="A37" s="3" t="inlineStr">
        <is>
          <t>Change</t>
        </is>
      </c>
      <c r="B37" s="19">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grade-by-grade capacities at Bourbon Central and Cane Ridge are a records ask (report Question 3).</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5">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26">
        <f>B5*B9</f>
        <v/>
      </c>
    </row>
    <row r="11">
      <c r="A11" s="3" t="inlineStr">
        <is>
          <t>Paris-area zones (sq mi)</t>
        </is>
      </c>
      <c r="B11" s="26">
        <f>B5-B10</f>
        <v/>
      </c>
    </row>
    <row r="12">
      <c r="A12" s="3" t="inlineStr">
        <is>
          <t>NMES elementary students</t>
        </is>
      </c>
      <c r="B12" s="25">
        <f>Assumptions!B11</f>
        <v/>
      </c>
    </row>
    <row r="13">
      <c r="A13" s="3" t="inlineStr">
        <is>
          <t>Paris-area elementary students</t>
        </is>
      </c>
      <c r="B13" s="25">
        <f>Redistricting!B8+Redistricting!B9</f>
        <v/>
      </c>
    </row>
    <row r="14">
      <c r="A14" s="3" t="inlineStr">
        <is>
          <t>Students per square mile, NMES zone</t>
        </is>
      </c>
      <c r="B14" s="20">
        <f>B12/B10</f>
        <v/>
      </c>
    </row>
    <row r="15">
      <c r="A15" s="3" t="inlineStr">
        <is>
          <t>Students per square mile, Paris-area zones</t>
        </is>
      </c>
      <c r="B15" s="20">
        <f>B13/B11</f>
        <v/>
      </c>
    </row>
    <row r="16">
      <c r="A16" s="3" t="inlineStr">
        <is>
          <t>Students per square mile, district elementary overall</t>
        </is>
      </c>
      <c r="B16" s="20">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27" t="n">
        <v>2.5</v>
      </c>
      <c r="C27" s="2" t="inlineStr">
        <is>
          <t>Fuel, maintenance, driver time; replace with district cost data</t>
        </is>
      </c>
    </row>
    <row r="28">
      <c r="A28" s="3" t="inlineStr">
        <is>
          <t>Marginal cost per bus-mile, high</t>
        </is>
      </c>
      <c r="B28" s="27"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2" t="inlineStr">
        <is>
          <t>Bottom-up added busing cost, low</t>
        </is>
      </c>
      <c r="B33" s="24">
        <f>B29</f>
        <v/>
      </c>
    </row>
    <row r="34">
      <c r="A34" s="22" t="inlineStr">
        <is>
          <t>Bottom-up added busing cost, high</t>
        </is>
      </c>
      <c r="B34" s="23">
        <f>B30+B31*B32</f>
        <v/>
      </c>
    </row>
    <row r="35">
      <c r="A35" s="3" t="inlineStr">
        <is>
          <t>Report's planning range (Closure_Model offset basis)</t>
        </is>
      </c>
      <c r="B35" s="2" t="inlineStr">
        <is>
          <t>Between $75,000 and $200,000</t>
        </is>
      </c>
    </row>
    <row r="36">
      <c r="A36" s="21" t="inlineStr">
        <is>
          <t>The bottom-up estimate lands inside the planning range; the $137,500 midpoint used in the Closure_Model stands.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5">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18">
        <f>Assumptions!B42</f>
        <v/>
      </c>
    </row>
    <row r="49">
      <c r="A49" s="3" t="inlineStr">
        <is>
          <t>Average Daily Attendance, FY2025</t>
        </is>
      </c>
      <c r="B49" s="28"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18">
        <f>Assumptions!B42*Assumptions!B43</f>
        <v/>
      </c>
    </row>
    <row r="52">
      <c r="A52" s="3" t="inlineStr"/>
      <c r="B52" s="18">
        <f>Assumptions!B42*Assumptions!B44</f>
        <v/>
      </c>
    </row>
    <row r="54">
      <c r="A54" s="4" t="inlineStr">
        <is>
          <t>ACTUAL DISTANCES, COMPUTED FROM THE OFFICIAL ZONE GEOMETRY (build/zone_distances.py)</t>
        </is>
      </c>
    </row>
    <row r="55">
      <c r="A55" s="3" t="inlineStr">
        <is>
          <t>Straight-line, NMES to the Paris schools (miles)</t>
        </is>
      </c>
      <c r="B55" s="28" t="n">
        <v>8.871</v>
      </c>
      <c r="C55" s="2" t="inlineStr">
        <is>
          <t>Great-circle between the school points; unrounded so derived cells match build/zone_distances.json</t>
        </is>
      </c>
    </row>
    <row r="56">
      <c r="A56" s="3" t="inlineStr">
        <is>
          <t>Measured road distance, US 460 (miles)</t>
        </is>
      </c>
      <c r="B56" s="28" t="n">
        <v>10</v>
      </c>
      <c r="C56" s="2" t="inlineStr">
        <is>
          <t>The one pair that can be measured exactly</t>
        </is>
      </c>
    </row>
    <row r="57">
      <c r="A57" s="3" t="inlineStr">
        <is>
          <t>Implied road factor on the measured pair</t>
        </is>
      </c>
      <c r="B57" s="29">
        <f>B56/B55</f>
        <v/>
      </c>
    </row>
    <row r="58">
      <c r="A58" s="3" t="inlineStr">
        <is>
          <t>Road factor applied elsewhere (the measured US 460 pair implies 1.13)</t>
        </is>
      </c>
      <c r="B58" s="27" t="n">
        <v>1.2</v>
      </c>
    </row>
    <row r="59">
      <c r="A59" s="3" t="inlineStr">
        <is>
          <t>Area-average added distance under closure, one way, straight-line</t>
        </is>
      </c>
      <c r="B59" s="28" t="n">
        <v>3.271</v>
      </c>
      <c r="C59" s="2" t="inlineStr">
        <is>
          <t>Grid average over the official NMES zone (812 sample points); unrounded input, displays to one decimal</t>
        </is>
      </c>
    </row>
    <row r="60">
      <c r="A60" s="3" t="inlineStr">
        <is>
          <t>Area-average added distance, road</t>
        </is>
      </c>
      <c r="B60" s="20">
        <f>B59*B58</f>
        <v/>
      </c>
    </row>
    <row r="61">
      <c r="A61" s="3" t="inlineStr">
        <is>
          <t>Farthest corner of the zone, straight-line to Paris / to NMES</t>
        </is>
      </c>
      <c r="B61" s="28" t="n">
        <v>15.1</v>
      </c>
      <c r="C61" s="2" t="inlineStr">
        <is>
          <t>8.3 miles to NMES; near the Nicholas County line</t>
        </is>
      </c>
    </row>
    <row r="62">
      <c r="A62" s="3" t="inlineStr">
        <is>
          <t>Farthest corner by road: to Paris / to NMES (miles)</t>
        </is>
      </c>
      <c r="B62" s="26">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3"/>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s>
  <sheetData>
    <row r="1">
      <c r="A1" s="1" t="inlineStr">
        <is>
          <t>Revenue and Cost Alternatives (no school closed)</t>
        </is>
      </c>
    </row>
    <row r="3">
      <c r="A3" s="17" t="inlineStr">
        <is>
          <t>Measure</t>
        </is>
      </c>
      <c r="B3" s="17" t="inlineStr">
        <is>
          <t>Low ($/yr)</t>
        </is>
      </c>
      <c r="C3" s="17" t="inlineStr">
        <is>
          <t>High ($/yr)</t>
        </is>
      </c>
      <c r="D3" s="17" t="inlineStr">
        <is>
          <t>Basis</t>
        </is>
      </c>
    </row>
    <row r="4">
      <c r="A4" s="3" t="inlineStr">
        <is>
          <t>4% property-tax adjustment (KRS 160.470)</t>
        </is>
      </c>
      <c r="B4" s="18">
        <f>Assumptions!B35*Assumptions!B36</f>
        <v/>
      </c>
      <c r="C4" s="8" t="n">
        <v>450000</v>
      </c>
      <c r="D4" s="2" t="inlineStr">
        <is>
          <t>Low = 4% of FY2025 GF property tax; high allows base growth</t>
        </is>
      </c>
    </row>
    <row r="5">
      <c r="A5" s="3" t="inlineStr">
        <is>
          <t>Improve delinquent-tax recovery (partial)</t>
        </is>
      </c>
      <c r="B5" s="8" t="n">
        <v>60000</v>
      </c>
      <c r="C5" s="8" t="n">
        <v>120000</v>
      </c>
      <c r="D5" s="2" t="inlineStr">
        <is>
          <t>25-50% of FY2025 delinquency of $239,126 (2.4% of certified yield)</t>
        </is>
      </c>
    </row>
    <row r="6">
      <c r="A6" s="3" t="inlineStr">
        <is>
          <t>Attendance recovery (+1-2% ADA)</t>
        </is>
      </c>
      <c r="B6" s="8" t="n">
        <v>100000</v>
      </c>
      <c r="C6" s="8" t="n">
        <v>200000</v>
      </c>
      <c r="D6" s="2" t="inlineStr">
        <is>
          <t>Approx. SEEK value per 1% of ADA</t>
        </is>
      </c>
    </row>
    <row r="7">
      <c r="A7" s="3" t="inlineStr">
        <is>
          <t>Attrition-based staffing alignment</t>
        </is>
      </c>
      <c r="B7" s="18">
        <f>Assumptions!B48*Assumptions!B41</f>
        <v/>
      </c>
      <c r="C7" s="8" t="n">
        <v>425000</v>
      </c>
      <c r="D7" s="2" t="inlineStr">
        <is>
          <t>Low = positions x loaded cost</t>
        </is>
      </c>
    </row>
    <row r="8">
      <c r="A8" s="3" t="inlineStr">
        <is>
          <t>Administrative restraint</t>
        </is>
      </c>
      <c r="B8" s="18">
        <f>Assumptions!B47*(Assumptions!B46-Assumptions!B45)</f>
        <v/>
      </c>
      <c r="C8" s="8" t="n">
        <v>450000</v>
      </c>
      <c r="D8" s="2" t="inlineStr">
        <is>
          <t>Low = rollback share of 2-yr district-admin growth</t>
        </is>
      </c>
    </row>
    <row r="9">
      <c r="A9" s="3" t="inlineStr">
        <is>
          <t>Transportation optimization</t>
        </is>
      </c>
      <c r="B9" s="18">
        <f>Assumptions!B42*Assumptions!B43</f>
        <v/>
      </c>
      <c r="C9" s="18">
        <f>Assumptions!B42*Assumptions!B44</f>
        <v/>
      </c>
      <c r="D9" s="2" t="inlineStr">
        <is>
          <t>5-10% of FY2025 transport expense</t>
        </is>
      </c>
    </row>
    <row r="10">
      <c r="A10" s="3" t="inlineStr">
        <is>
          <t>Medicaid billing, E-rate, meal reimbursements</t>
        </is>
      </c>
      <c r="B10" s="8" t="n">
        <v>100000</v>
      </c>
      <c r="C10" s="8" t="n">
        <v>250000</v>
      </c>
      <c r="D10" s="2" t="inlineStr">
        <is>
          <t>Typical under-collected federal reimbursements</t>
        </is>
      </c>
    </row>
    <row r="11">
      <c r="A11" s="3" t="inlineStr">
        <is>
          <t>Energy performance contracting</t>
        </is>
      </c>
      <c r="B11" s="8" t="n">
        <v>50000</v>
      </c>
      <c r="C11" s="8" t="n">
        <v>150000</v>
      </c>
      <c r="D11" s="2" t="inlineStr">
        <is>
          <t>10-25% of utilities; authorized by 702 KAR 4:160</t>
        </is>
      </c>
    </row>
    <row r="12">
      <c r="A12" s="3" t="inlineStr">
        <is>
          <t>Shared services with Paris Independent</t>
        </is>
      </c>
      <c r="B12" s="8" t="n">
        <v>100000</v>
      </c>
      <c r="C12" s="8" t="n">
        <v>300000</v>
      </c>
      <c r="D12" s="2" t="inlineStr">
        <is>
          <t>Transport, food service, back office</t>
        </is>
      </c>
    </row>
    <row r="13">
      <c r="A13" s="3" t="inlineStr">
        <is>
          <t>Fill NMES to capacity (rebalance + transfers, net)</t>
        </is>
      </c>
      <c r="B13" s="18">
        <f>Redistricting!B30</f>
        <v/>
      </c>
      <c r="C13" s="18">
        <f>Redistricting!B31</f>
        <v/>
      </c>
      <c r="D13" s="2" t="inlineStr">
        <is>
          <t>Boundary rebalancing and cross-county scenario, Redistricting tab</t>
        </is>
      </c>
    </row>
    <row r="14">
      <c r="A14" s="3" t="inlineStr">
        <is>
          <t>NMES multi-age reorganization</t>
        </is>
      </c>
      <c r="B14" s="8" t="n">
        <v>170000</v>
      </c>
      <c r="C14" s="8" t="n">
        <v>255000</v>
      </c>
      <c r="D14" s="2" t="inlineStr">
        <is>
          <t>Six or seven sections instead of nine, via attrition</t>
        </is>
      </c>
    </row>
    <row r="15">
      <c r="A15" s="22" t="inlineStr">
        <is>
          <t>Total identified (ranges overlap; not additive to the penny)</t>
        </is>
      </c>
      <c r="B15" s="24">
        <f>SUM(B4:B14)</f>
        <v/>
      </c>
      <c r="C15" s="24">
        <f>SUM(C4:C14)</f>
        <v/>
      </c>
    </row>
    <row r="17">
      <c r="A17" s="4" t="inlineStr">
        <is>
          <t>COMPARISON</t>
        </is>
      </c>
    </row>
    <row r="18">
      <c r="A18" s="3" t="inlineStr">
        <is>
          <t>Package midpoint (raw sum of ranges)</t>
        </is>
      </c>
      <c r="B18" s="9">
        <f>(B15+C15)/2</f>
        <v/>
      </c>
    </row>
    <row r="19">
      <c r="A19" s="3" t="inlineStr">
        <is>
          <t>Conservative combined estimate, low (haircut for overlap)</t>
        </is>
      </c>
      <c r="B19" s="14" t="n">
        <v>1100000</v>
      </c>
    </row>
    <row r="20">
      <c r="A20" s="3" t="inlineStr">
        <is>
          <t>Conservative combined estimate, high</t>
        </is>
      </c>
      <c r="B20" s="14" t="n">
        <v>2100000</v>
      </c>
    </row>
    <row r="21">
      <c r="A21" s="3" t="inlineStr">
        <is>
          <t>Conservative midpoint (used in Runway sheet)</t>
        </is>
      </c>
      <c r="B21" s="9">
        <f>(B19+B20)/2</f>
        <v/>
      </c>
    </row>
    <row r="22">
      <c r="A22" s="3" t="inlineStr">
        <is>
          <t>Average annual GF drawdown (FY2024-25)</t>
        </is>
      </c>
      <c r="B22" s="18">
        <f>GF_Summary!D16</f>
        <v/>
      </c>
    </row>
    <row r="23">
      <c r="A23" s="3" t="inlineStr">
        <is>
          <t>Closure net saving (base case)</t>
        </is>
      </c>
      <c r="B23" s="18">
        <f>Closure_Model!B20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5"/>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17" t="inlineStr">
        <is>
          <t>Series</t>
        </is>
      </c>
      <c r="B4" s="17" t="inlineStr">
        <is>
          <t>Original</t>
        </is>
      </c>
      <c r="C4" s="17" t="inlineStr">
        <is>
          <t>Rate</t>
        </is>
      </c>
      <c r="D4" s="17" t="inlineStr">
        <is>
          <t>Maturity</t>
        </is>
      </c>
      <c r="E4" s="17" t="inlineStr">
        <is>
          <t>Outstanding 6/30/25</t>
        </is>
      </c>
      <c r="F4" s="17"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2" t="inlineStr">
        <is>
          <t>Total</t>
        </is>
      </c>
      <c r="B12" s="24">
        <f>SUM(B5:B11)</f>
        <v/>
      </c>
      <c r="E12" s="24">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28"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18">
        <f>Tax_History!B33</f>
        <v/>
      </c>
    </row>
    <row r="26">
      <c r="A26" s="3" t="inlineStr">
        <is>
          <t>District-paid debt service, FY2026</t>
        </is>
      </c>
      <c r="B26" s="8" t="n">
        <v>1578700</v>
      </c>
    </row>
    <row r="27">
      <c r="A27" s="3" t="inlineStr">
        <is>
          <t>Annual restricted margin available for new debt (illustrative)</t>
        </is>
      </c>
      <c r="B27" s="30">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17" t="inlineStr">
        <is>
          <t>Projected ending General Fund balance</t>
        </is>
      </c>
      <c r="B4" s="17" t="inlineStr">
        <is>
          <t>FY2026</t>
        </is>
      </c>
      <c r="C4" s="17" t="inlineStr">
        <is>
          <t>FY2027</t>
        </is>
      </c>
      <c r="D4" s="17" t="inlineStr">
        <is>
          <t>FY2028</t>
        </is>
      </c>
      <c r="E4" s="17"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B6-GF_Summary!$D$16+0.5*Alternatives!$B$21</f>
        <v/>
      </c>
      <c r="D6" s="9">
        <f>C6-GF_Summary!$D$16+Alternatives!$B$21</f>
        <v/>
      </c>
      <c r="E6" s="9">
        <f>D6-GF_Summary!$D$16+Alternatives!$B$21</f>
        <v/>
      </c>
    </row>
    <row r="7">
      <c r="A7" s="3" t="inlineStr">
        <is>
          <t>Closure only (base-case net saving from FY2027)</t>
        </is>
      </c>
      <c r="B7" s="9">
        <f>GF_Summary!D9-GF_Summary!$D$16</f>
        <v/>
      </c>
      <c r="C7" s="9">
        <f>B7-GF_Summary!$D$16+Closure_Model!$B$20</f>
        <v/>
      </c>
      <c r="D7" s="9">
        <f>C7-GF_Summary!$D$16+Closure_Model!$B$20</f>
        <v/>
      </c>
      <c r="E7" s="9">
        <f>D7-GF_Summary!$D$16+Closure_Model!$B$20</f>
        <v/>
      </c>
    </row>
    <row r="8">
      <c r="A8" s="3" t="inlineStr">
        <is>
          <t>2% contingency floor (approx., FY2025 basis)</t>
        </is>
      </c>
      <c r="B8" s="18">
        <f>GF_Summary!$D$14</f>
        <v/>
      </c>
      <c r="C8" s="18">
        <f>GF_Summary!$D$14</f>
        <v/>
      </c>
      <c r="D8" s="18">
        <f>GF_Summary!$D$14</f>
        <v/>
      </c>
      <c r="E8" s="18">
        <f>GF_Summary!$D$14</f>
        <v/>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5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6" customWidth="1" min="5" max="5"/>
    <col width="13" customWidth="1" min="6" max="6"/>
    <col width="48" customWidth="1" min="7" max="7"/>
  </cols>
  <sheetData>
    <row r="1">
      <c r="A1" s="1" t="inlineStr">
        <is>
          <t>Property Tax Rates, Fund Split, Delinquency, and the 4% Option</t>
        </is>
      </c>
    </row>
    <row r="2">
      <c r="A2" s="2" t="inlineStr">
        <is>
          <t>Backs Section 9 and Figure 15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28" t="n">
        <v>61.3</v>
      </c>
      <c r="G5" s="21" t="inlineStr">
        <is>
          <t>2019 documented as the board taking the 4% option (Bourbon County Citizen, 9/4/2019); other years' rate type undetermined pending KDE levy files</t>
        </is>
      </c>
    </row>
    <row r="6">
      <c r="A6" s="3" t="inlineStr">
        <is>
          <t>2019</t>
        </is>
      </c>
      <c r="B6" s="28" t="n">
        <v>60.6</v>
      </c>
    </row>
    <row r="7">
      <c r="A7" s="3" t="inlineStr">
        <is>
          <t>2020</t>
        </is>
      </c>
      <c r="B7" s="28" t="n">
        <v>55.9</v>
      </c>
    </row>
    <row r="8">
      <c r="A8" s="3" t="inlineStr">
        <is>
          <t>2021</t>
        </is>
      </c>
      <c r="B8" s="28" t="n">
        <v>54.2</v>
      </c>
    </row>
    <row r="9">
      <c r="A9" s="3" t="inlineStr">
        <is>
          <t>2022</t>
        </is>
      </c>
      <c r="B9" s="28" t="n">
        <v>49.2</v>
      </c>
    </row>
    <row r="10">
      <c r="A10" s="3" t="inlineStr">
        <is>
          <t>2023</t>
        </is>
      </c>
      <c r="B10" s="28" t="n">
        <v>52.4</v>
      </c>
    </row>
    <row r="11">
      <c r="A11" s="3" t="inlineStr">
        <is>
          <t>2024</t>
        </is>
      </c>
      <c r="B11" s="28" t="n">
        <v>52.4</v>
      </c>
    </row>
    <row r="12">
      <c r="A12" s="3" t="inlineStr">
        <is>
          <t>2025</t>
        </is>
      </c>
      <c r="B12" s="28" t="n">
        <v>52.4</v>
      </c>
    </row>
    <row r="14">
      <c r="A14" s="3" t="inlineStr">
        <is>
          <t>Tangible/personal rate (recent)</t>
        </is>
      </c>
      <c r="B14" s="28" t="n">
        <v>64.5</v>
      </c>
    </row>
    <row r="15">
      <c r="A15" s="3" t="inlineStr">
        <is>
          <t>Motor vehicle rate</t>
        </is>
      </c>
      <c r="B15" s="28" t="n">
        <v>54.7</v>
      </c>
    </row>
    <row r="16">
      <c r="A16" s="3" t="inlineStr">
        <is>
          <t>Utility gross receipts</t>
        </is>
      </c>
      <c r="B16" s="13" t="n">
        <v>0.03</v>
      </c>
    </row>
    <row r="18">
      <c r="A18" s="4" t="inlineStr">
        <is>
          <t>AREA DISTRICTS, LEVIED REAL ESTATE RATE 2024-25</t>
        </is>
      </c>
    </row>
    <row r="19">
      <c r="A19" s="3" t="inlineStr">
        <is>
          <t>Fayette County</t>
        </is>
      </c>
      <c r="B19" s="28"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28" t="n">
        <v>71.5</v>
      </c>
    </row>
    <row r="21">
      <c r="A21" s="3" t="inlineStr">
        <is>
          <t>Clark County</t>
        </is>
      </c>
      <c r="B21" s="28" t="n">
        <v>66.8</v>
      </c>
    </row>
    <row r="22">
      <c r="A22" s="3" t="inlineStr">
        <is>
          <t>Bath County</t>
        </is>
      </c>
      <c r="B22" s="28" t="n">
        <v>63.4</v>
      </c>
    </row>
    <row r="23">
      <c r="A23" s="3" t="inlineStr">
        <is>
          <t>Scott County</t>
        </is>
      </c>
      <c r="B23" s="28" t="n">
        <v>62.9</v>
      </c>
    </row>
    <row r="24">
      <c r="A24" s="3" t="inlineStr">
        <is>
          <t>Harrison County</t>
        </is>
      </c>
      <c r="B24" s="28" t="n">
        <v>57.7</v>
      </c>
    </row>
    <row r="25">
      <c r="A25" s="3" t="inlineStr">
        <is>
          <t>Montgomery County</t>
        </is>
      </c>
      <c r="B25" s="28" t="n">
        <v>52.5</v>
      </c>
    </row>
    <row r="26">
      <c r="A26" s="3" t="inlineStr">
        <is>
          <t>Bourbon County</t>
        </is>
      </c>
      <c r="B26" s="28" t="n">
        <v>52.4</v>
      </c>
    </row>
    <row r="27">
      <c r="A27" s="3" t="inlineStr">
        <is>
          <t>Nicholas County</t>
        </is>
      </c>
      <c r="B27" s="28" t="n">
        <v>43.1</v>
      </c>
    </row>
    <row r="28">
      <c r="A28" s="3" t="inlineStr">
        <is>
          <t>Statewide school average (DOR Table II, 2025)</t>
        </is>
      </c>
      <c r="B28" s="28"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9">
        <f>B32/B38</f>
        <v/>
      </c>
    </row>
    <row r="41">
      <c r="A41" s="4" t="inlineStr">
        <is>
          <t>DELINQUENCY CHECK (collections vs certified yield)</t>
        </is>
      </c>
      <c r="B41" s="22" t="inlineStr">
        <is>
          <t>FY2024</t>
        </is>
      </c>
      <c r="C41" s="22"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9">
        <f>B44/B42</f>
        <v/>
      </c>
      <c r="C45" s="19">
        <f>C44/C42</f>
        <v/>
      </c>
    </row>
    <row r="47">
      <c r="A47" s="4" t="inlineStr">
        <is>
          <t>FOUR PERCENT OPTION, THREE-YEAR PATH (KRS 160.470)</t>
        </is>
      </c>
    </row>
    <row r="48">
      <c r="A48" s="3" t="inlineStr">
        <is>
          <t>Base: FY2025 actual real + personal collections</t>
        </is>
      </c>
      <c r="B48" s="18">
        <f>C43</f>
        <v/>
      </c>
      <c r="G48" s="21" t="inlineStr">
        <is>
          <t>Basis: 4% more revenue from EXISTING real + personal property than the compensating rate;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9">
        <f>B53/(Assumptions!B24-Assumptions!B21)</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9">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11)</t>
        </is>
      </c>
    </row>
    <row r="33">
      <c r="A33" s="3" t="inlineStr">
        <is>
          <t>Peak enrollment (1988-89)</t>
        </is>
      </c>
      <c r="B33" s="11">
        <f>MAX(F33:F51,I33:I50)</f>
        <v/>
      </c>
      <c r="E33" s="22" t="inlineStr">
        <is>
          <t>1989</t>
        </is>
      </c>
      <c r="F33" s="10" t="n">
        <v>261</v>
      </c>
      <c r="H33" s="22" t="inlineStr">
        <is>
          <t>2008</t>
        </is>
      </c>
      <c r="I33" s="10" t="n">
        <v>224</v>
      </c>
      <c r="J33" s="21" t="inlineStr">
        <is>
          <t>1989-2014 compiled by PublicSchoolReview from federal data; 2015-2025 match NCES directly</t>
        </is>
      </c>
    </row>
    <row r="34">
      <c r="A34" s="3" t="inlineStr">
        <is>
          <t>Latest official count (2024-25)</t>
        </is>
      </c>
      <c r="B34" s="11">
        <f>I50</f>
        <v/>
      </c>
      <c r="E34" s="22" t="inlineStr">
        <is>
          <t>1990</t>
        </is>
      </c>
      <c r="F34" s="10" t="n">
        <v>255</v>
      </c>
      <c r="H34" s="22" t="inlineStr">
        <is>
          <t>2009</t>
        </is>
      </c>
      <c r="I34" s="10" t="n">
        <v>217</v>
      </c>
    </row>
    <row r="35">
      <c r="A35" s="3" t="inlineStr">
        <is>
          <t>Decline from peak</t>
        </is>
      </c>
      <c r="B35" s="11">
        <f>B33-B34</f>
        <v/>
      </c>
      <c r="E35" s="22" t="inlineStr">
        <is>
          <t>1991</t>
        </is>
      </c>
      <c r="F35" s="10" t="n">
        <v>234</v>
      </c>
      <c r="H35" s="22" t="inlineStr">
        <is>
          <t>2010</t>
        </is>
      </c>
      <c r="I35" s="10" t="n">
        <v>177</v>
      </c>
    </row>
    <row r="36">
      <c r="A36" s="3" t="inlineStr">
        <is>
          <t>Decline as a share of peak</t>
        </is>
      </c>
      <c r="B36" s="19">
        <f>B35/B33</f>
        <v/>
      </c>
      <c r="E36" s="22" t="inlineStr">
        <is>
          <t>1992</t>
        </is>
      </c>
      <c r="F36" s="10" t="n">
        <v>225</v>
      </c>
      <c r="H36" s="22" t="inlineStr">
        <is>
          <t>2011</t>
        </is>
      </c>
      <c r="I36" s="10" t="n">
        <v>165</v>
      </c>
    </row>
    <row r="37">
      <c r="A37" s="3" t="inlineStr">
        <is>
          <t>Current rated capacity</t>
        </is>
      </c>
      <c r="B37" s="25">
        <f>Assumptions!B12</f>
        <v/>
      </c>
      <c r="E37" s="22" t="inlineStr">
        <is>
          <t>1993</t>
        </is>
      </c>
      <c r="F37" s="10" t="n">
        <v>202</v>
      </c>
      <c r="H37" s="22" t="inlineStr">
        <is>
          <t>2012</t>
        </is>
      </c>
      <c r="I37" s="10" t="n">
        <v>167</v>
      </c>
    </row>
    <row r="38">
      <c r="E38" s="22" t="inlineStr">
        <is>
          <t>1994</t>
        </is>
      </c>
      <c r="F38" s="10" t="n">
        <v>203</v>
      </c>
      <c r="H38" s="22" t="inlineStr">
        <is>
          <t>2013</t>
        </is>
      </c>
      <c r="I38" s="10" t="n">
        <v>154</v>
      </c>
    </row>
    <row r="39">
      <c r="E39" s="22" t="inlineStr">
        <is>
          <t>1995</t>
        </is>
      </c>
      <c r="F39" s="10" t="n">
        <v>182</v>
      </c>
      <c r="H39" s="22" t="inlineStr">
        <is>
          <t>2014</t>
        </is>
      </c>
      <c r="I39" s="10" t="n">
        <v>154</v>
      </c>
    </row>
    <row r="40">
      <c r="E40" s="22" t="inlineStr">
        <is>
          <t>1996</t>
        </is>
      </c>
      <c r="F40" s="10" t="n">
        <v>196</v>
      </c>
      <c r="H40" s="22" t="inlineStr">
        <is>
          <t>2015</t>
        </is>
      </c>
      <c r="I40" s="10" t="n">
        <v>155</v>
      </c>
    </row>
    <row r="41">
      <c r="E41" s="22" t="inlineStr">
        <is>
          <t>1997</t>
        </is>
      </c>
      <c r="F41" s="10" t="n">
        <v>208</v>
      </c>
      <c r="H41" s="22" t="inlineStr">
        <is>
          <t>2016</t>
        </is>
      </c>
      <c r="I41" s="10" t="n">
        <v>154</v>
      </c>
    </row>
    <row r="42">
      <c r="E42" s="22" t="inlineStr">
        <is>
          <t>1998</t>
        </is>
      </c>
      <c r="F42" s="10" t="n">
        <v>198</v>
      </c>
      <c r="H42" s="22" t="inlineStr">
        <is>
          <t>2017</t>
        </is>
      </c>
      <c r="I42" s="10" t="n">
        <v>131</v>
      </c>
    </row>
    <row r="43">
      <c r="E43" s="22" t="inlineStr">
        <is>
          <t>1999</t>
        </is>
      </c>
      <c r="F43" s="10" t="n">
        <v>205</v>
      </c>
      <c r="H43" s="22" t="inlineStr">
        <is>
          <t>2018</t>
        </is>
      </c>
      <c r="I43" s="10" t="n">
        <v>131</v>
      </c>
    </row>
    <row r="44">
      <c r="E44" s="22" t="inlineStr">
        <is>
          <t>2000</t>
        </is>
      </c>
      <c r="F44" s="10" t="n">
        <v>195</v>
      </c>
      <c r="H44" s="22" t="inlineStr">
        <is>
          <t>2019</t>
        </is>
      </c>
      <c r="I44" s="10" t="n">
        <v>160</v>
      </c>
    </row>
    <row r="45">
      <c r="E45" s="22" t="inlineStr">
        <is>
          <t>2001</t>
        </is>
      </c>
      <c r="F45" s="10" t="n">
        <v>195</v>
      </c>
      <c r="H45" s="22" t="inlineStr">
        <is>
          <t>2020</t>
        </is>
      </c>
      <c r="I45" s="10" t="n">
        <v>160</v>
      </c>
    </row>
    <row r="46">
      <c r="E46" s="22" t="inlineStr">
        <is>
          <t>2002</t>
        </is>
      </c>
      <c r="F46" s="10" t="n">
        <v>203</v>
      </c>
      <c r="H46" s="22" t="inlineStr">
        <is>
          <t>2021</t>
        </is>
      </c>
      <c r="I46" s="10" t="n">
        <v>148</v>
      </c>
    </row>
    <row r="47">
      <c r="E47" s="22" t="inlineStr">
        <is>
          <t>2003</t>
        </is>
      </c>
      <c r="F47" s="10" t="n">
        <v>196</v>
      </c>
      <c r="H47" s="22" t="inlineStr">
        <is>
          <t>2022</t>
        </is>
      </c>
      <c r="I47" s="10" t="n">
        <v>153</v>
      </c>
    </row>
    <row r="48">
      <c r="E48" s="22" t="inlineStr">
        <is>
          <t>2004</t>
        </is>
      </c>
      <c r="F48" s="10" t="n">
        <v>206</v>
      </c>
      <c r="H48" s="22" t="inlineStr">
        <is>
          <t>2023</t>
        </is>
      </c>
      <c r="I48" s="10" t="n">
        <v>145</v>
      </c>
    </row>
    <row r="49">
      <c r="E49" s="22" t="inlineStr">
        <is>
          <t>2005</t>
        </is>
      </c>
      <c r="F49" s="10" t="n">
        <v>204</v>
      </c>
      <c r="H49" s="22" t="inlineStr">
        <is>
          <t>2024</t>
        </is>
      </c>
      <c r="I49" s="10" t="n">
        <v>135</v>
      </c>
    </row>
    <row r="50">
      <c r="E50" s="22" t="inlineStr">
        <is>
          <t>2006</t>
        </is>
      </c>
      <c r="F50" s="10" t="n">
        <v>199</v>
      </c>
      <c r="H50" s="22" t="inlineStr">
        <is>
          <t>2025</t>
        </is>
      </c>
      <c r="I50" s="10" t="n">
        <v>128</v>
      </c>
    </row>
    <row r="51">
      <c r="E51" s="22"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T36"/>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Scores are SchoolDigger's normalized 0-100 'Average Standard Score' from KDE test data - not KDE's official rating. Confirm vs KDE Open House datasets before formal submission.</t>
        </is>
      </c>
    </row>
    <row r="4">
      <c r="A4" s="4" t="inlineStr">
        <is>
          <t>NMES ENROLLMENT BY SCHOOL YEAR (backs Figure 11)</t>
        </is>
      </c>
    </row>
    <row r="5">
      <c r="A5" s="22" t="inlineStr">
        <is>
          <t>School year</t>
        </is>
      </c>
      <c r="B5" s="22" t="inlineStr">
        <is>
          <t>'15-16</t>
        </is>
      </c>
      <c r="C5" s="22" t="inlineStr">
        <is>
          <t>'16-17</t>
        </is>
      </c>
      <c r="D5" s="22" t="inlineStr">
        <is>
          <t>'17-18</t>
        </is>
      </c>
      <c r="E5" s="22" t="inlineStr">
        <is>
          <t>'18-19</t>
        </is>
      </c>
      <c r="F5" s="22" t="inlineStr">
        <is>
          <t>'19-20</t>
        </is>
      </c>
      <c r="G5" s="22" t="inlineStr">
        <is>
          <t>'20-21</t>
        </is>
      </c>
      <c r="H5" s="22" t="inlineStr">
        <is>
          <t>'21-22</t>
        </is>
      </c>
      <c r="I5" s="22" t="inlineStr">
        <is>
          <t>'22-23</t>
        </is>
      </c>
      <c r="J5" s="22" t="inlineStr">
        <is>
          <t>'23-24</t>
        </is>
      </c>
      <c r="K5" s="22"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6 and 7)</t>
        </is>
      </c>
    </row>
    <row r="14">
      <c r="A14" s="22" t="inlineStr">
        <is>
          <t>School (district)</t>
        </is>
      </c>
      <c r="B14" s="22" t="inlineStr">
        <is>
          <t>2007</t>
        </is>
      </c>
      <c r="C14" s="22" t="inlineStr">
        <is>
          <t>2008</t>
        </is>
      </c>
      <c r="D14" s="22" t="inlineStr">
        <is>
          <t>2009</t>
        </is>
      </c>
      <c r="E14" s="22" t="inlineStr">
        <is>
          <t>2010</t>
        </is>
      </c>
      <c r="F14" s="22" t="inlineStr">
        <is>
          <t>2011</t>
        </is>
      </c>
      <c r="G14" s="22" t="inlineStr">
        <is>
          <t>2012</t>
        </is>
      </c>
      <c r="H14" s="22" t="inlineStr">
        <is>
          <t>2013</t>
        </is>
      </c>
      <c r="I14" s="22" t="inlineStr">
        <is>
          <t>2014</t>
        </is>
      </c>
      <c r="J14" s="22" t="inlineStr">
        <is>
          <t>2015</t>
        </is>
      </c>
      <c r="K14" s="22" t="inlineStr">
        <is>
          <t>2016</t>
        </is>
      </c>
      <c r="L14" s="22" t="inlineStr">
        <is>
          <t>2017</t>
        </is>
      </c>
      <c r="M14" s="22" t="inlineStr">
        <is>
          <t>2018</t>
        </is>
      </c>
      <c r="N14" s="22" t="inlineStr">
        <is>
          <t>2019</t>
        </is>
      </c>
      <c r="O14" s="22" t="inlineStr">
        <is>
          <t>2021</t>
        </is>
      </c>
      <c r="P14" s="22" t="inlineStr">
        <is>
          <t>2022</t>
        </is>
      </c>
      <c r="Q14" s="22" t="inlineStr">
        <is>
          <t>2023</t>
        </is>
      </c>
      <c r="R14" s="22" t="inlineStr">
        <is>
          <t>2024</t>
        </is>
      </c>
      <c r="S14" s="22"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28" t="n">
        <v>56.5</v>
      </c>
      <c r="C15" s="28" t="n">
        <v>63.9</v>
      </c>
      <c r="D15" s="28" t="n">
        <v>68.59999999999999</v>
      </c>
      <c r="E15" s="28" t="n">
        <v>87.90000000000001</v>
      </c>
      <c r="F15" s="28" t="n">
        <v>85.8</v>
      </c>
      <c r="G15" s="28" t="n">
        <v>72.5</v>
      </c>
      <c r="H15" s="28" t="n">
        <v>67.59999999999999</v>
      </c>
      <c r="I15" s="28" t="n">
        <v>56.6</v>
      </c>
      <c r="J15" s="28" t="n">
        <v>56.9</v>
      </c>
      <c r="K15" s="28" t="n">
        <v>48.7</v>
      </c>
      <c r="L15" s="28" t="n">
        <v>49.3</v>
      </c>
      <c r="M15" s="28" t="n">
        <v>40</v>
      </c>
      <c r="N15" s="28" t="n">
        <v>50.4</v>
      </c>
      <c r="P15" s="28" t="n">
        <v>47.7</v>
      </c>
      <c r="Q15" s="28" t="n">
        <v>32.1</v>
      </c>
      <c r="R15" s="28" t="n">
        <v>54.1</v>
      </c>
      <c r="S15" s="28" t="n">
        <v>58.2</v>
      </c>
    </row>
    <row r="16">
      <c r="A16" s="3" t="inlineStr">
        <is>
          <t>Bourbon Central (Bourbon Co.)</t>
        </is>
      </c>
      <c r="B16" s="28" t="n">
        <v>77.5</v>
      </c>
      <c r="C16" s="28" t="n">
        <v>81.90000000000001</v>
      </c>
      <c r="D16" s="28" t="n">
        <v>72.59999999999999</v>
      </c>
      <c r="E16" s="28" t="n">
        <v>69.59999999999999</v>
      </c>
      <c r="F16" s="28" t="n">
        <v>63</v>
      </c>
      <c r="G16" s="28" t="n">
        <v>74.7</v>
      </c>
      <c r="H16" s="28" t="n">
        <v>67.59999999999999</v>
      </c>
      <c r="I16" s="28" t="n">
        <v>51.8</v>
      </c>
      <c r="J16" s="28" t="n">
        <v>52.1</v>
      </c>
      <c r="K16" s="28" t="n">
        <v>30</v>
      </c>
      <c r="L16" s="28" t="n">
        <v>34</v>
      </c>
      <c r="M16" s="28" t="n">
        <v>32.8</v>
      </c>
      <c r="N16" s="28" t="n">
        <v>39.9</v>
      </c>
      <c r="O16" s="28" t="n">
        <v>20</v>
      </c>
      <c r="P16" s="28" t="n">
        <v>29.9</v>
      </c>
      <c r="Q16" s="28" t="n">
        <v>29</v>
      </c>
      <c r="R16" s="28" t="n">
        <v>23.8</v>
      </c>
      <c r="S16" s="28" t="n">
        <v>26.5</v>
      </c>
    </row>
    <row r="17">
      <c r="A17" s="3" t="inlineStr">
        <is>
          <t>Cane Ridge (Bourbon Co.)</t>
        </is>
      </c>
      <c r="B17" s="28" t="n">
        <v>35.2</v>
      </c>
      <c r="C17" s="28" t="n">
        <v>50.9</v>
      </c>
      <c r="D17" s="28" t="n">
        <v>56.2</v>
      </c>
      <c r="E17" s="28" t="n">
        <v>65.5</v>
      </c>
      <c r="F17" s="28" t="n">
        <v>34.5</v>
      </c>
      <c r="G17" s="28" t="n">
        <v>34</v>
      </c>
      <c r="H17" s="28" t="n">
        <v>49.6</v>
      </c>
      <c r="I17" s="28" t="n">
        <v>51</v>
      </c>
      <c r="J17" s="28" t="n">
        <v>51.1</v>
      </c>
      <c r="K17" s="28" t="n">
        <v>57.5</v>
      </c>
      <c r="L17" s="28" t="n">
        <v>50.4</v>
      </c>
      <c r="M17" s="28" t="n">
        <v>41.4</v>
      </c>
      <c r="N17" s="28" t="n">
        <v>38.8</v>
      </c>
      <c r="O17" s="28" t="n">
        <v>23.8</v>
      </c>
      <c r="P17" s="28" t="n">
        <v>38.7</v>
      </c>
      <c r="Q17" s="28" t="n">
        <v>34.6</v>
      </c>
      <c r="R17" s="28" t="n">
        <v>35.8</v>
      </c>
      <c r="S17" s="28" t="n">
        <v>19.3</v>
      </c>
    </row>
    <row r="18">
      <c r="A18" s="3" t="inlineStr">
        <is>
          <t>Paris Elementary (Paris Indep.)</t>
        </is>
      </c>
      <c r="R18" s="28" t="n">
        <v>16.8</v>
      </c>
      <c r="S18" s="28" t="n">
        <v>12.2</v>
      </c>
    </row>
    <row r="19">
      <c r="A19" s="3" t="inlineStr">
        <is>
          <t>Shearer (Clark Co.)</t>
        </is>
      </c>
      <c r="R19" s="28" t="n">
        <v>30.7</v>
      </c>
      <c r="S19" s="28" t="n">
        <v>42.3</v>
      </c>
    </row>
    <row r="20">
      <c r="A20" s="3" t="inlineStr">
        <is>
          <t>Justice (Clark Co.)</t>
        </is>
      </c>
      <c r="R20" s="28" t="n">
        <v>43.2</v>
      </c>
      <c r="S20" s="28" t="n">
        <v>39.3</v>
      </c>
    </row>
    <row r="21">
      <c r="A21" s="3" t="inlineStr">
        <is>
          <t>Strode Station (Clark Co.)</t>
        </is>
      </c>
      <c r="R21" s="28" t="n">
        <v>43.2</v>
      </c>
      <c r="S21" s="28" t="n">
        <v>34.2</v>
      </c>
    </row>
    <row r="22">
      <c r="A22" s="3" t="inlineStr">
        <is>
          <t>Conkwright (Clark Co.)</t>
        </is>
      </c>
      <c r="R22" s="28" t="n">
        <v>15.6</v>
      </c>
      <c r="S22" s="28" t="n">
        <v>17.5</v>
      </c>
    </row>
    <row r="23">
      <c r="A23" s="3" t="inlineStr">
        <is>
          <t>Northview (Montgomery Co.)</t>
        </is>
      </c>
      <c r="R23" s="28" t="n">
        <v>67.40000000000001</v>
      </c>
      <c r="S23" s="28" t="n">
        <v>68.90000000000001</v>
      </c>
    </row>
    <row r="24">
      <c r="A24" s="3" t="inlineStr">
        <is>
          <t>Mapleton (Montgomery Co.)</t>
        </is>
      </c>
      <c r="R24" s="28" t="n">
        <v>65.90000000000001</v>
      </c>
      <c r="S24" s="28" t="n">
        <v>65.09999999999999</v>
      </c>
    </row>
    <row r="25">
      <c r="A25" s="3" t="inlineStr">
        <is>
          <t>Nicholas County Elementary (Nicholas Co.)</t>
        </is>
      </c>
      <c r="R25" s="28" t="n">
        <v>15.9</v>
      </c>
      <c r="T25" s="2" t="inlineStr">
        <is>
          <t>Nicholas County: 2024 value; 2025 not retrieved</t>
        </is>
      </c>
    </row>
    <row r="26">
      <c r="A26" s="3" t="inlineStr">
        <is>
          <t>Three-year average, 2023-2025: NMES / Bourbon Central / Cane Ridge</t>
        </is>
      </c>
      <c r="B26" s="20">
        <f>AVERAGE(Q15:S15)</f>
        <v/>
      </c>
      <c r="C26" s="20">
        <f>AVERAGE(Q16:S16)</f>
        <v/>
      </c>
      <c r="D26" s="20">
        <f>AVERAGE(Q17:S17)</f>
        <v/>
      </c>
    </row>
    <row r="28">
      <c r="A28" s="4" t="inlineStr">
        <is>
          <t>NMES DETAIL, 2024-25 (backs Section 5)</t>
        </is>
      </c>
    </row>
    <row r="29">
      <c r="B29" s="22" t="inlineStr">
        <is>
          <t>NMES</t>
        </is>
      </c>
      <c r="C29" s="22"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3" t="inlineStr">
        <is>
          <t>Science, proficient or better</t>
        </is>
      </c>
      <c r="B33" s="13" t="n">
        <v>0.53</v>
      </c>
      <c r="C33" s="13" t="n">
        <v>0.37</v>
      </c>
    </row>
    <row r="34">
      <c r="A34" s="3" t="inlineStr">
        <is>
          <t>Composite: economically disadvantaged students</t>
        </is>
      </c>
      <c r="B34" s="28" t="n">
        <v>57.1</v>
      </c>
    </row>
    <row r="35">
      <c r="A35" s="3" t="inlineStr">
        <is>
          <t>Composite: female students</t>
        </is>
      </c>
      <c r="B35" s="28" t="n">
        <v>85.7</v>
      </c>
    </row>
    <row r="36">
      <c r="A36" s="3" t="inlineStr">
        <is>
          <t>Composite: male students</t>
        </is>
      </c>
      <c r="B36" s="28" t="n">
        <v>28.8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2026-07-20T03:44:13Z</dcterms:created>
  <dcterms:modified xsi:type="dcterms:W3CDTF">2026-07-20T03:44:13Z</dcterms:modified>
</cp:coreProperties>
</file>