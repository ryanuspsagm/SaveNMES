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-$17,982 (the median scenario LOSES money); middle half -$135,672 to +$101,417; 54 percent of weighted scenarios negative; range -$591,545 to +$488,631 (unweighted median -$21,971, 55 percent negative).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1"/>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row r="31">
      <c r="A31" s="3" t="inlineStr">
        <is>
          <t>Plan at LOW ends: enrollment $1.11M + costs $760K</t>
        </is>
      </c>
      <c r="B31" s="8" t="n">
        <v>1870000</v>
      </c>
    </row>
    <row r="32">
      <c r="A32" s="3" t="inlineStr">
        <is>
          <t>Full 2018 rate restore (Tax_History basis)</t>
        </is>
      </c>
      <c r="B32" s="8" t="n">
        <v>1699479</v>
      </c>
    </row>
    <row r="33">
      <c r="A33" s="3" t="inlineStr">
        <is>
          <t>Structural gap before transfers</t>
        </is>
      </c>
      <c r="B33" s="18">
        <f>Assumptions!B24-Assumptions!B21</f>
        <v/>
      </c>
    </row>
    <row r="34">
      <c r="A34" s="3" t="inlineStr">
        <is>
          <t>Recurring surplus after the gap</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bonds supported (4.5%, 20 years; same basis as Debt_Service)</t>
        </is>
      </c>
      <c r="B37" s="23">
        <f>B36*(1-1.045^-20)/0.045</f>
        <v/>
      </c>
    </row>
    <row r="38">
      <c r="A38" s="3" t="inlineStr">
        <is>
          <t>Restricted capacity freed when the sweep ends (Debt_Service)</t>
        </is>
      </c>
      <c r="B38" s="8" t="n">
        <v>17600000</v>
      </c>
    </row>
    <row r="39">
      <c r="A39" s="3" t="inlineStr">
        <is>
          <t>Building capacity, together</t>
        </is>
      </c>
      <c r="B39" s="23">
        <f>B37+B38</f>
        <v/>
      </c>
    </row>
    <row r="40">
      <c r="A40" s="21" t="inlineStr">
        <is>
          <t>Reading: at the plan's LOW ends with the full restore, the district funds a 5 percent certified raise AND about $23 million of building capacity for new schools and renovations, with every school open. Requires the full 8.9-cent restore and hitting the low-end lever estimates.</t>
        </is>
      </c>
    </row>
    <row r="41">
      <c r="A41" s="21" t="inlineStr">
        <is>
          <t>Top end: levers high ($3.32M enrollment + $1.32M costs) + full restore = $6.34M vs the $2.65M gap, a $3.69M surplus; a 10 percent certified raise ($1.01M) leaves $2.67M for debt service = about $35M of bonds, roughly $52M of building capacity with the freed restricted stream.</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weighted median itself is negative (-$17,982)</t>
        </is>
      </c>
    </row>
    <row r="47">
      <c r="A47" s="3" t="inlineStr">
        <is>
          <t>Closure model median (v4.5 weighted grid)</t>
        </is>
      </c>
      <c r="B47" s="8" t="n">
        <v>-17982</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+$488,631 best case FY2029 ends near $1.2M; at the -$17,982 weighted median the reserves go slightly FASTER than status quo; 54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2026-08-02T13:43:13Z</dcterms:created>
  <dcterms:modified xmlns:dcterms="http://purl.org/dc/terms/" xmlns:xsi="http://www.w3.org/2001/XMLSchema-instance" xsi:type="dcterms:W3CDTF">2026-08-02T13:43:13Z</dcterms:modified>
</cp:coreProperties>
</file>