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GF_Summary" sheetId="3" state="visible" r:id="rId3"/>
    <sheet name="Closure_Model" sheetId="4" state="visible" r:id="rId4"/>
    <sheet name="Growth_Model" sheetId="5" state="visible" r:id="rId5"/>
    <sheet name="Redistricting" sheetId="6" state="visible" r:id="rId6"/>
    <sheet name="Transport_Geo" sheetId="7" state="visible" r:id="rId7"/>
    <sheet name="Alternatives" sheetId="8" state="visible" r:id="rId8"/>
    <sheet name="Debt_Service" sheetId="9" state="visible" r:id="rId9"/>
    <sheet name="Runway" sheetId="10" state="visible" r:id="rId10"/>
    <sheet name="Scenarios" sheetId="11" state="visible" r:id="rId11"/>
    <sheet name="Tax_History" sheetId="12" state="visible" r:id="rId12"/>
    <sheet name="Demographics" sheetId="13" state="visible" r:id="rId13"/>
    <sheet name="School_Data" sheetId="14" state="visible" r:id="rId14"/>
    <sheet name="Facility_Plans" sheetId="15" state="visible" r:id="rId15"/>
  </sheets>
  <definedNames/>
  <calcPr calcId="124519" fullCalcOnLoad="1"/>
</workbook>
</file>

<file path=xl/styles.xml><?xml version="1.0" encoding="utf-8"?>
<styleSheet xmlns="http://schemas.openxmlformats.org/spreadsheetml/2006/main">
  <numFmts count="4">
    <numFmt numFmtId="164" formatCode="$#,##0;($#,##0);&quot;-&quot;"/>
    <numFmt numFmtId="165" formatCode="#,##0;(#,##0);&quot;-&quot;"/>
    <numFmt numFmtId="166" formatCode="0.0%"/>
    <numFmt numFmtId="167" formatCode="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67" fontId="7" fillId="3" borderId="0" pivotButton="0" quotePrefix="0" xfId="0"/>
    <xf numFmtId="165" fontId="8" fillId="0" borderId="0" pivotButton="0" quotePrefix="0" xfId="0"/>
    <xf numFmtId="166"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11).</t>
        </is>
      </c>
    </row>
    <row r="21">
      <c r="A21" s="2" t="inlineStr">
        <is>
          <t xml:space="preserve">  Tax rates, fund split, delinquency check, and the 4% three-year path: Tax_History tab (backs Figure 15).</t>
        </is>
      </c>
    </row>
    <row r="22">
      <c r="A22" s="2" t="inlineStr">
        <is>
          <t xml:space="preserve">  Boundary rebalancing and fill-to-capacity scenario: Redistricting tab (backs the Section 9 worked example and Figure 12).</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working alongside Claude, an AI research assistant from Anthropic. Estimates are labeled; every figure</t>
        </is>
      </c>
    </row>
    <row r="28">
      <c r="A28" s="3" t="inlineStr">
        <is>
          <t>should be re-verified against the cited primary sources before 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7"/>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Principal &amp; office costs avoided</t>
        </is>
      </c>
      <c r="B51" s="14" t="n">
        <v>175000</v>
      </c>
      <c r="C51" s="2" t="inlineStr">
        <is>
          <t>Estimate</t>
        </is>
      </c>
    </row>
    <row r="52">
      <c r="A52" s="3" t="inlineStr">
        <is>
          <t>Plant/utilities/insurance avoided, net of carrying cost</t>
        </is>
      </c>
      <c r="B52" s="14" t="n">
        <v>115000</v>
      </c>
      <c r="C52" s="2" t="inlineStr">
        <is>
          <t>Estimate; assumes building sold or repurposed</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5"/>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t>
        </is>
      </c>
      <c r="B12" s="18">
        <f>Assumptions!B53*Assumptions!B41</f>
        <v/>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As a share of the FY2025 structural deficit</t>
        </is>
      </c>
      <c r="B21" s="19">
        <f>B20/(Assumptions!B24-Assumptions!B21)</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DISTRICT-FAVORABLE CASE (red-team): 5 positions cut, low busing, no departures</t>
        </is>
      </c>
    </row>
    <row r="34">
      <c r="A34" s="3" t="inlineStr">
        <is>
          <t>Net recurring saving, favorable case</t>
        </is>
      </c>
      <c r="B34" s="18">
        <f>Assumptions!B51+Assumptions!B52+Assumptions!B66*Assumptions!B41-Assumptions!B67</f>
        <v/>
      </c>
    </row>
    <row r="35">
      <c r="A35" s="3" t="inlineStr">
        <is>
          <t>As a share of the FY2025 structural deficit</t>
        </is>
      </c>
      <c r="B35" s="19">
        <f>B34/(Assumptions!B24-Assumptions!B21)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3"/>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classroom sections</t>
        </is>
      </c>
      <c r="B20" s="10" t="n">
        <v>9</v>
      </c>
      <c r="C20" s="2" t="inlineStr">
        <is>
          <t>9.41 classroom FTE, NCES; K-5 across nine homerooms</t>
        </is>
      </c>
    </row>
    <row r="21">
      <c r="A21" s="3" t="inlineStr">
        <is>
          <t>Average class size today</t>
        </is>
      </c>
      <c r="B21" s="20">
        <f>B5/B20</f>
        <v/>
      </c>
    </row>
    <row r="22">
      <c r="A22" s="3" t="inlineStr">
        <is>
          <t>Average class size at capacity</t>
        </is>
      </c>
      <c r="B22" s="20">
        <f>B14/B20</f>
        <v/>
      </c>
    </row>
    <row r="23">
      <c r="A23" s="2" t="inlineStr">
        <is>
          <t>Statutory caps (KRS 157.360): 24 in K-3, 28 in grade 4, 29 in grades 5-6. The scenario adds no NMES teachers.</t>
        </is>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t>
        </is>
      </c>
      <c r="B30" s="24">
        <f>B26-B27+B28*Assumptions!B41</f>
        <v/>
      </c>
    </row>
    <row r="31">
      <c r="A31" s="22" t="inlineStr">
        <is>
          <t>Net recurring benefit, high</t>
        </is>
      </c>
      <c r="B31" s="23">
        <f>B26-B27+B29*Assumptions!B41</f>
        <v/>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6">
        <f>B5*B9</f>
        <v/>
      </c>
    </row>
    <row r="11">
      <c r="A11" s="3" t="inlineStr">
        <is>
          <t>Paris-area zones (sq mi)</t>
        </is>
      </c>
      <c r="B11" s="26">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7" t="n">
        <v>2.5</v>
      </c>
      <c r="C27" s="2" t="inlineStr">
        <is>
          <t>Fuel, maintenance, driver time; replace with district cost data</t>
        </is>
      </c>
    </row>
    <row r="28">
      <c r="A28" s="3" t="inlineStr">
        <is>
          <t>Marginal cost per bus-mile, high</t>
        </is>
      </c>
      <c r="B28" s="27"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8"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8" t="n">
        <v>8.871</v>
      </c>
      <c r="C55" s="2" t="inlineStr">
        <is>
          <t>Great-circle between the school points; unrounded so derived cells match build/zone_distances.json</t>
        </is>
      </c>
    </row>
    <row r="56">
      <c r="A56" s="3" t="inlineStr">
        <is>
          <t>Measured road distance, US 460 (miles)</t>
        </is>
      </c>
      <c r="B56" s="28" t="n">
        <v>10</v>
      </c>
      <c r="C56" s="2" t="inlineStr">
        <is>
          <t>The one pair that can be measured exactly</t>
        </is>
      </c>
    </row>
    <row r="57">
      <c r="A57" s="3" t="inlineStr">
        <is>
          <t>Implied road factor on the measured pair</t>
        </is>
      </c>
      <c r="B57" s="29">
        <f>B56/B55</f>
        <v/>
      </c>
    </row>
    <row r="58">
      <c r="A58" s="3" t="inlineStr">
        <is>
          <t>Road factor applied elsewhere (the measured US 460 pair implies 1.13)</t>
        </is>
      </c>
      <c r="B58" s="27" t="n">
        <v>1.2</v>
      </c>
    </row>
    <row r="59">
      <c r="A59" s="3" t="inlineStr">
        <is>
          <t>Area-average added distance under closure, one way, straight-line</t>
        </is>
      </c>
      <c r="B59" s="28"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8" t="n">
        <v>15.1</v>
      </c>
      <c r="C61" s="2" t="inlineStr">
        <is>
          <t>8.3 miles to NMES; near the Nicholas County line</t>
        </is>
      </c>
    </row>
    <row r="62">
      <c r="A62" s="3" t="inlineStr">
        <is>
          <t>Farthest corner by road: to Paris / to NMES (miles)</t>
        </is>
      </c>
      <c r="B62" s="26">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5"/>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Tax_History!B50</f>
        <v/>
      </c>
      <c r="C4" s="8" t="n">
        <v>450000</v>
      </c>
      <c r="D4" s="2" t="inlineStr">
        <is>
          <t>Low = year-one 4% option on the full levied base (matches the levy analysis);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Medicaid billing, E-rate, meal reimbursements</t>
        </is>
      </c>
      <c r="B10" s="8" t="n">
        <v>100000</v>
      </c>
      <c r="C10" s="8" t="n">
        <v>250000</v>
      </c>
      <c r="D10" s="2" t="inlineStr">
        <is>
          <t>Typical under-collected federal reimbursements</t>
        </is>
      </c>
      <c r="E10" s="2" t="inlineStr">
        <is>
          <t>New revenue</t>
        </is>
      </c>
      <c r="F10" s="2" t="inlineStr">
        <is>
          <t>Low; needs evidence current claims are being missed</t>
        </is>
      </c>
    </row>
    <row r="11">
      <c r="A11" s="3" t="inlineStr">
        <is>
          <t>Energy performance contracting</t>
        </is>
      </c>
      <c r="B11" s="8" t="n">
        <v>50000</v>
      </c>
      <c r="C11" s="8" t="n">
        <v>150000</v>
      </c>
      <c r="D11" s="2" t="inlineStr">
        <is>
          <t>10-25% of utilities; authorized by 702 KAR 4:160</t>
        </is>
      </c>
      <c r="E11" s="2" t="inlineStr">
        <is>
          <t>Cost reduction</t>
        </is>
      </c>
      <c r="F11" s="2" t="inlineStr">
        <is>
          <t>Medium; contracts are structured to self-fund</t>
        </is>
      </c>
    </row>
    <row r="12">
      <c r="A12" s="3" t="inlineStr">
        <is>
          <t>Shared services with Paris Independent</t>
        </is>
      </c>
      <c r="B12" s="8" t="n">
        <v>100000</v>
      </c>
      <c r="C12" s="8" t="n">
        <v>300000</v>
      </c>
      <c r="D12" s="2" t="inlineStr">
        <is>
          <t>Transport, food service, back office</t>
        </is>
      </c>
      <c r="E12" s="2" t="inlineStr">
        <is>
          <t>Cost reduction</t>
        </is>
      </c>
      <c r="F12" s="2" t="inlineStr">
        <is>
          <t>Low; needs an interlocal feasibility study</t>
        </is>
      </c>
    </row>
    <row r="13">
      <c r="A13" s="3" t="inlineStr">
        <is>
          <t>Fill NMES to capacity (rebalance + transfers, net)</t>
        </is>
      </c>
      <c r="B13" s="18">
        <f>Redistricting!B30</f>
        <v/>
      </c>
      <c r="C13" s="18">
        <f>Redistricting!B31</f>
        <v/>
      </c>
      <c r="D13" s="2" t="inlineStr">
        <is>
          <t>Boundary rebalancing and cross-county scenario, Redistricting tab</t>
        </is>
      </c>
      <c r="E13" s="2" t="inlineStr">
        <is>
          <t>New revenue, net of costs</t>
        </is>
      </c>
      <c r="F13" s="2" t="inlineStr">
        <is>
          <t>High; board boundary authority, math on Redistricting tab</t>
        </is>
      </c>
    </row>
    <row r="14">
      <c r="A14" s="3" t="inlineStr">
        <is>
          <t>NMES multi-age reorganization</t>
        </is>
      </c>
      <c r="B14" s="8" t="n">
        <v>170000</v>
      </c>
      <c r="C14" s="8" t="n">
        <v>255000</v>
      </c>
      <c r="D14" s="2" t="inlineStr">
        <is>
          <t>Six or seven sections instead of nine, via attrition</t>
        </is>
      </c>
      <c r="E14" s="2" t="inlineStr">
        <is>
          <t>Cost reduction</t>
        </is>
      </c>
      <c r="F14" s="2" t="inlineStr">
        <is>
          <t>Medium; needs a staffing and grade-band plan</t>
        </is>
      </c>
    </row>
    <row r="15">
      <c r="A15" s="22" t="inlineStr">
        <is>
          <t>Total identified (ranges overlap; not additive to the penny)</t>
        </is>
      </c>
      <c r="B15" s="24">
        <f>SUM(B4:B14)</f>
        <v/>
      </c>
      <c r="C15" s="24">
        <f>SUM(C4:C14)</f>
        <v/>
      </c>
    </row>
    <row r="17">
      <c r="A17" s="4" t="inlineStr">
        <is>
          <t>COMPARISON</t>
        </is>
      </c>
    </row>
    <row r="18">
      <c r="A18" s="3" t="inlineStr">
        <is>
          <t>Package midpoint (raw sum of ranges)</t>
        </is>
      </c>
      <c r="B18" s="9">
        <f>(B15+C15)/2</f>
        <v/>
      </c>
    </row>
    <row r="19">
      <c r="A19" s="3" t="inlineStr">
        <is>
          <t>Conservative combined estimate, low (haircut for overlap)</t>
        </is>
      </c>
      <c r="B19" s="14" t="n">
        <v>1100000</v>
      </c>
    </row>
    <row r="20">
      <c r="A20" s="3" t="inlineStr">
        <is>
          <t>Conservative combined estimate, high</t>
        </is>
      </c>
      <c r="B20" s="14" t="n">
        <v>2100000</v>
      </c>
    </row>
    <row r="21">
      <c r="A21" s="3" t="inlineStr">
        <is>
          <t>Conservative midpoint (used in Runway sheet)</t>
        </is>
      </c>
      <c r="B21" s="9">
        <f>(B19+B20)/2</f>
        <v/>
      </c>
    </row>
    <row r="22">
      <c r="A22" s="3" t="inlineStr">
        <is>
          <t>Average annual GF drawdown (FY2024-25)</t>
        </is>
      </c>
      <c r="B22" s="18">
        <f>GF_Summary!D16</f>
        <v/>
      </c>
    </row>
    <row r="23">
      <c r="A23" s="3" t="inlineStr">
        <is>
          <t>Closure net saving (base case)</t>
        </is>
      </c>
      <c r="B23" s="18">
        <f>Closure_Model!B20</f>
        <v/>
      </c>
    </row>
    <row r="25">
      <c r="A25" s="21" t="inlineStr">
        <is>
          <t>Reading: raw row sums run about $1.8M to $3.1M; the published $1.1M to $2.1M band takes roughly two thirds of them as a haircut for overlap and implementation risk. Coverage percentages elsewhere measure against the $2.65M gap before transfers; the Runway and Scenarios tabs run on the net drawdown after transfers.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5"/>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8"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0">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B6-GF_Summary!$D$16+0.5*Alternatives!$B$21</f>
        <v/>
      </c>
      <c r="D6" s="9">
        <f>C6-GF_Summary!$D$16+Alternatives!$B$21</f>
        <v/>
      </c>
      <c r="E6" s="9">
        <f>D6-GF_Summary!$D$16+Alternatives!$B$21</f>
        <v/>
      </c>
    </row>
    <row r="7">
      <c r="A7" s="3" t="inlineStr">
        <is>
          <t>Closure only (base-case net saving from FY2027)</t>
        </is>
      </c>
      <c r="B7" s="9">
        <f>GF_Summary!D9-GF_Summary!$D$16</f>
        <v/>
      </c>
      <c r="C7" s="9">
        <f>B7-GF_Summary!$D$16+Closure_Model!$B$20</f>
        <v/>
      </c>
      <c r="D7" s="9">
        <f>C7-GF_Summary!$D$16+Closure_Model!$B$20</f>
        <v/>
      </c>
      <c r="E7" s="9">
        <f>D7-GF_Summary!$D$16+Closure_Model!$B$20</f>
        <v/>
      </c>
    </row>
    <row r="8">
      <c r="A8" s="3" t="inlineStr">
        <is>
          <t>2% contingency floor (approx., FY2025 basis)</t>
        </is>
      </c>
      <c r="B8" s="18">
        <f>GF_Summary!$D$14</f>
        <v/>
      </c>
      <c r="C8" s="18">
        <f>GF_Summary!$D$14</f>
        <v/>
      </c>
      <c r="D8" s="18">
        <f>GF_Summary!$D$14</f>
        <v/>
      </c>
      <c r="E8" s="18">
        <f>GF_Summary!$D$14</f>
        <v/>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covers 13.6% of the gap (24.2% in the district-favorable case); longer rides; enrollment-loss risk</t>
        </is>
      </c>
    </row>
    <row r="7">
      <c r="A7" s="3" t="inlineStr">
        <is>
          <t>3. Districtwide recovery plan (menu plus levy; includes rebalancing and growing NMES)</t>
        </is>
      </c>
      <c r="B7" s="18">
        <f>Alternatives!B21</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5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6" customWidth="1" min="5" max="5"/>
    <col width="13" customWidth="1" min="6" max="6"/>
    <col width="48" customWidth="1" min="7" max="7"/>
  </cols>
  <sheetData>
    <row r="1">
      <c r="A1" s="1" t="inlineStr">
        <is>
          <t>Property Tax Rates, Fund Split, Delinquency, and the 4% Option</t>
        </is>
      </c>
    </row>
    <row r="2">
      <c r="A2" s="2" t="inlineStr">
        <is>
          <t>Backs Section 9 and Figure 15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8" t="n">
        <v>61.3</v>
      </c>
      <c r="G5" s="21" t="inlineStr">
        <is>
          <t>2019 documented as the board taking the 4% option (Bourbon County Citizen, 9/4/2019); other years' rate type undetermined pending KDE levy files</t>
        </is>
      </c>
    </row>
    <row r="6">
      <c r="A6" s="3" t="inlineStr">
        <is>
          <t>2019</t>
        </is>
      </c>
      <c r="B6" s="28" t="n">
        <v>60.6</v>
      </c>
    </row>
    <row r="7">
      <c r="A7" s="3" t="inlineStr">
        <is>
          <t>2020</t>
        </is>
      </c>
      <c r="B7" s="28" t="n">
        <v>55.9</v>
      </c>
    </row>
    <row r="8">
      <c r="A8" s="3" t="inlineStr">
        <is>
          <t>2021</t>
        </is>
      </c>
      <c r="B8" s="28" t="n">
        <v>54.2</v>
      </c>
    </row>
    <row r="9">
      <c r="A9" s="3" t="inlineStr">
        <is>
          <t>2022</t>
        </is>
      </c>
      <c r="B9" s="28" t="n">
        <v>49.2</v>
      </c>
    </row>
    <row r="10">
      <c r="A10" s="3" t="inlineStr">
        <is>
          <t>2023</t>
        </is>
      </c>
      <c r="B10" s="28" t="n">
        <v>52.4</v>
      </c>
    </row>
    <row r="11">
      <c r="A11" s="3" t="inlineStr">
        <is>
          <t>2024</t>
        </is>
      </c>
      <c r="B11" s="28" t="n">
        <v>52.4</v>
      </c>
    </row>
    <row r="12">
      <c r="A12" s="3" t="inlineStr">
        <is>
          <t>2025</t>
        </is>
      </c>
      <c r="B12" s="28" t="n">
        <v>52.4</v>
      </c>
    </row>
    <row r="14">
      <c r="A14" s="3" t="inlineStr">
        <is>
          <t>Tangible/personal rate (recent)</t>
        </is>
      </c>
      <c r="B14" s="28" t="n">
        <v>64.5</v>
      </c>
    </row>
    <row r="15">
      <c r="A15" s="3" t="inlineStr">
        <is>
          <t>Motor vehicle rate</t>
        </is>
      </c>
      <c r="B15" s="28" t="n">
        <v>54.7</v>
      </c>
    </row>
    <row r="16">
      <c r="A16" s="3" t="inlineStr">
        <is>
          <t>Utility gross receipts</t>
        </is>
      </c>
      <c r="B16" s="13" t="n">
        <v>0.03</v>
      </c>
    </row>
    <row r="18">
      <c r="A18" s="4" t="inlineStr">
        <is>
          <t>AREA DISTRICTS, LEVIED REAL ESTATE RATE 2024-25</t>
        </is>
      </c>
    </row>
    <row r="19">
      <c r="A19" s="3" t="inlineStr">
        <is>
          <t>Fayette County</t>
        </is>
      </c>
      <c r="B19" s="28"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8" t="n">
        <v>71.5</v>
      </c>
    </row>
    <row r="21">
      <c r="A21" s="3" t="inlineStr">
        <is>
          <t>Clark County</t>
        </is>
      </c>
      <c r="B21" s="28" t="n">
        <v>66.8</v>
      </c>
    </row>
    <row r="22">
      <c r="A22" s="3" t="inlineStr">
        <is>
          <t>Bath County</t>
        </is>
      </c>
      <c r="B22" s="28" t="n">
        <v>63.4</v>
      </c>
    </row>
    <row r="23">
      <c r="A23" s="3" t="inlineStr">
        <is>
          <t>Scott County</t>
        </is>
      </c>
      <c r="B23" s="28" t="n">
        <v>62.9</v>
      </c>
    </row>
    <row r="24">
      <c r="A24" s="3" t="inlineStr">
        <is>
          <t>Harrison County</t>
        </is>
      </c>
      <c r="B24" s="28" t="n">
        <v>57.7</v>
      </c>
    </row>
    <row r="25">
      <c r="A25" s="3" t="inlineStr">
        <is>
          <t>Montgomery County</t>
        </is>
      </c>
      <c r="B25" s="28" t="n">
        <v>52.5</v>
      </c>
    </row>
    <row r="26">
      <c r="A26" s="3" t="inlineStr">
        <is>
          <t>Bourbon County</t>
        </is>
      </c>
      <c r="B26" s="28" t="n">
        <v>52.4</v>
      </c>
    </row>
    <row r="27">
      <c r="A27" s="3" t="inlineStr">
        <is>
          <t>Nicholas County</t>
        </is>
      </c>
      <c r="B27" s="28" t="n">
        <v>43.1</v>
      </c>
    </row>
    <row r="28">
      <c r="A28" s="3" t="inlineStr">
        <is>
          <t>Statewide school average (DOR Table II, 2025)</t>
        </is>
      </c>
      <c r="B28" s="28"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actual real + personal collections</t>
        </is>
      </c>
      <c r="B48" s="18">
        <f>C43</f>
        <v/>
      </c>
      <c r="G48" s="21" t="inlineStr">
        <is>
          <t>Basis: 4% more revenue from EXISTING real + personal property than the compensating rate;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11)</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11)</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8" t="n">
        <v>56.5</v>
      </c>
      <c r="C15" s="28" t="n">
        <v>63.9</v>
      </c>
      <c r="D15" s="28" t="n">
        <v>68.59999999999999</v>
      </c>
      <c r="E15" s="28" t="n">
        <v>87.90000000000001</v>
      </c>
      <c r="F15" s="28" t="n">
        <v>85.8</v>
      </c>
      <c r="G15" s="28" t="n">
        <v>72.5</v>
      </c>
      <c r="H15" s="28" t="n">
        <v>67.59999999999999</v>
      </c>
      <c r="I15" s="28" t="n">
        <v>56.6</v>
      </c>
      <c r="J15" s="28" t="n">
        <v>56.9</v>
      </c>
      <c r="K15" s="28" t="n">
        <v>48.7</v>
      </c>
      <c r="L15" s="28" t="n">
        <v>49.3</v>
      </c>
      <c r="M15" s="28" t="n">
        <v>40</v>
      </c>
      <c r="N15" s="28" t="n">
        <v>50.4</v>
      </c>
      <c r="P15" s="28" t="n">
        <v>47.7</v>
      </c>
      <c r="Q15" s="28" t="n">
        <v>32.1</v>
      </c>
      <c r="R15" s="28" t="n">
        <v>54.1</v>
      </c>
      <c r="S15" s="28" t="n">
        <v>58.2</v>
      </c>
    </row>
    <row r="16">
      <c r="A16" s="3" t="inlineStr">
        <is>
          <t>Bourbon Central (Bourbon Co.)</t>
        </is>
      </c>
      <c r="B16" s="28" t="n">
        <v>77.5</v>
      </c>
      <c r="C16" s="28" t="n">
        <v>81.90000000000001</v>
      </c>
      <c r="D16" s="28" t="n">
        <v>72.59999999999999</v>
      </c>
      <c r="E16" s="28" t="n">
        <v>69.59999999999999</v>
      </c>
      <c r="F16" s="28" t="n">
        <v>63</v>
      </c>
      <c r="G16" s="28" t="n">
        <v>74.7</v>
      </c>
      <c r="H16" s="28" t="n">
        <v>67.59999999999999</v>
      </c>
      <c r="I16" s="28" t="n">
        <v>51.8</v>
      </c>
      <c r="J16" s="28" t="n">
        <v>52.1</v>
      </c>
      <c r="K16" s="28" t="n">
        <v>30</v>
      </c>
      <c r="L16" s="28" t="n">
        <v>34</v>
      </c>
      <c r="M16" s="28" t="n">
        <v>32.8</v>
      </c>
      <c r="N16" s="28" t="n">
        <v>39.9</v>
      </c>
      <c r="O16" s="28" t="n">
        <v>20</v>
      </c>
      <c r="P16" s="28" t="n">
        <v>29.9</v>
      </c>
      <c r="Q16" s="28" t="n">
        <v>29</v>
      </c>
      <c r="R16" s="28" t="n">
        <v>23.8</v>
      </c>
      <c r="S16" s="28" t="n">
        <v>26.5</v>
      </c>
    </row>
    <row r="17">
      <c r="A17" s="3" t="inlineStr">
        <is>
          <t>Cane Ridge (Bourbon Co.)</t>
        </is>
      </c>
      <c r="B17" s="28" t="n">
        <v>35.2</v>
      </c>
      <c r="C17" s="28" t="n">
        <v>50.9</v>
      </c>
      <c r="D17" s="28" t="n">
        <v>56.2</v>
      </c>
      <c r="E17" s="28" t="n">
        <v>65.5</v>
      </c>
      <c r="F17" s="28" t="n">
        <v>34.5</v>
      </c>
      <c r="G17" s="28" t="n">
        <v>34</v>
      </c>
      <c r="H17" s="28" t="n">
        <v>49.6</v>
      </c>
      <c r="I17" s="28" t="n">
        <v>51</v>
      </c>
      <c r="J17" s="28" t="n">
        <v>51.1</v>
      </c>
      <c r="K17" s="28" t="n">
        <v>57.5</v>
      </c>
      <c r="L17" s="28" t="n">
        <v>50.4</v>
      </c>
      <c r="M17" s="28" t="n">
        <v>41.4</v>
      </c>
      <c r="N17" s="28" t="n">
        <v>38.8</v>
      </c>
      <c r="O17" s="28" t="n">
        <v>23.8</v>
      </c>
      <c r="P17" s="28" t="n">
        <v>38.7</v>
      </c>
      <c r="Q17" s="28" t="n">
        <v>34.6</v>
      </c>
      <c r="R17" s="28" t="n">
        <v>35.8</v>
      </c>
      <c r="S17" s="28" t="n">
        <v>19.3</v>
      </c>
    </row>
    <row r="18">
      <c r="A18" s="3" t="inlineStr">
        <is>
          <t>Paris Elementary (Paris Indep.)</t>
        </is>
      </c>
      <c r="R18" s="28" t="n">
        <v>16.8</v>
      </c>
      <c r="S18" s="28" t="n">
        <v>12.2</v>
      </c>
    </row>
    <row r="19">
      <c r="A19" s="3" t="inlineStr">
        <is>
          <t>Shearer (Clark Co.)</t>
        </is>
      </c>
      <c r="R19" s="28" t="n">
        <v>30.7</v>
      </c>
      <c r="S19" s="28" t="n">
        <v>42.3</v>
      </c>
    </row>
    <row r="20">
      <c r="A20" s="3" t="inlineStr">
        <is>
          <t>Justice (Clark Co.)</t>
        </is>
      </c>
      <c r="R20" s="28" t="n">
        <v>43.2</v>
      </c>
      <c r="S20" s="28" t="n">
        <v>39.3</v>
      </c>
    </row>
    <row r="21">
      <c r="A21" s="3" t="inlineStr">
        <is>
          <t>Strode Station (Clark Co.)</t>
        </is>
      </c>
      <c r="R21" s="28" t="n">
        <v>43.2</v>
      </c>
      <c r="S21" s="28" t="n">
        <v>34.2</v>
      </c>
    </row>
    <row r="22">
      <c r="A22" s="3" t="inlineStr">
        <is>
          <t>Conkwright (Clark Co.)</t>
        </is>
      </c>
      <c r="R22" s="28" t="n">
        <v>15.6</v>
      </c>
      <c r="S22" s="28" t="n">
        <v>17.5</v>
      </c>
    </row>
    <row r="23">
      <c r="A23" s="3" t="inlineStr">
        <is>
          <t>Northview (Montgomery Co.)</t>
        </is>
      </c>
      <c r="R23" s="28" t="n">
        <v>67.40000000000001</v>
      </c>
      <c r="S23" s="28" t="n">
        <v>68.90000000000001</v>
      </c>
    </row>
    <row r="24">
      <c r="A24" s="3" t="inlineStr">
        <is>
          <t>Mapleton (Montgomery Co.)</t>
        </is>
      </c>
      <c r="R24" s="28" t="n">
        <v>65.90000000000001</v>
      </c>
      <c r="S24" s="28" t="n">
        <v>65.09999999999999</v>
      </c>
    </row>
    <row r="25">
      <c r="A25" s="3" t="inlineStr">
        <is>
          <t>Nicholas County Elementary (Nicholas Co.)</t>
        </is>
      </c>
      <c r="R25" s="28"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17" t="inlineStr">
        <is>
          <t>Subject</t>
        </is>
      </c>
      <c r="B34" s="31" t="inlineStr">
        <is>
          <t>NMES</t>
        </is>
      </c>
      <c r="C34" s="17" t="inlineStr">
        <is>
          <t>Bourbon Central</t>
        </is>
      </c>
      <c r="D34" s="17" t="inlineStr">
        <is>
          <t>Cane Ridge</t>
        </is>
      </c>
      <c r="E34" s="17" t="inlineStr">
        <is>
          <t>Paris Elem.</t>
        </is>
      </c>
      <c r="F34" s="17"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2" t="inlineStr">
        <is>
          <t>Percent proficient or distinguished</t>
        </is>
      </c>
      <c r="B44" s="22" t="inlineStr">
        <is>
          <t>'11-12</t>
        </is>
      </c>
      <c r="C44" s="22" t="inlineStr">
        <is>
          <t>'12-13</t>
        </is>
      </c>
      <c r="D44" s="22" t="inlineStr">
        <is>
          <t>'13-14</t>
        </is>
      </c>
      <c r="E44" s="22" t="inlineStr">
        <is>
          <t>'14-15</t>
        </is>
      </c>
      <c r="F44" s="22" t="inlineStr">
        <is>
          <t>'15-16</t>
        </is>
      </c>
      <c r="G44" s="22" t="inlineStr">
        <is>
          <t>'16-17</t>
        </is>
      </c>
      <c r="H44" s="22" t="inlineStr">
        <is>
          <t>'17-18</t>
        </is>
      </c>
      <c r="I44" s="22" t="inlineStr">
        <is>
          <t>'18-19</t>
        </is>
      </c>
      <c r="J44" s="22" t="inlineStr">
        <is>
          <t>'20-21</t>
        </is>
      </c>
      <c r="K44" s="22" t="inlineStr">
        <is>
          <t>'21-22</t>
        </is>
      </c>
      <c r="L44" s="22" t="inlineStr">
        <is>
          <t>'22-23</t>
        </is>
      </c>
      <c r="M44" s="22" t="inlineStr">
        <is>
          <t>'23-24</t>
        </is>
      </c>
      <c r="N44" s="22"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28" t="n">
        <v>51.9</v>
      </c>
      <c r="C45" s="28" t="n">
        <v>59.7</v>
      </c>
      <c r="D45" s="28" t="n">
        <v>63.2</v>
      </c>
      <c r="E45" s="28" t="n">
        <v>53.2</v>
      </c>
      <c r="F45" s="28" t="n">
        <v>56.1</v>
      </c>
      <c r="G45" s="28" t="n">
        <v>55.6</v>
      </c>
      <c r="H45" s="28" t="n">
        <v>42.3</v>
      </c>
      <c r="I45" s="28" t="n">
        <v>48.4</v>
      </c>
      <c r="J45" s="28" t="n">
        <v>21.4</v>
      </c>
      <c r="K45" s="28" t="n">
        <v>32</v>
      </c>
      <c r="L45" s="28" t="n">
        <v>43</v>
      </c>
      <c r="M45" s="28" t="n">
        <v>45</v>
      </c>
      <c r="N45" s="28" t="n">
        <v>41</v>
      </c>
    </row>
    <row r="46">
      <c r="A46" s="3" t="inlineStr">
        <is>
          <t>Reading: Bourbon Central</t>
        </is>
      </c>
      <c r="B46" s="28" t="n">
        <v>62.1</v>
      </c>
      <c r="C46" s="28" t="n">
        <v>56.6</v>
      </c>
      <c r="D46" s="28" t="n">
        <v>61.2</v>
      </c>
      <c r="E46" s="28" t="n">
        <v>55.7</v>
      </c>
      <c r="F46" s="28" t="n">
        <v>47.9</v>
      </c>
      <c r="G46" s="28" t="n">
        <v>47.9</v>
      </c>
      <c r="H46" s="28" t="n">
        <v>49.3</v>
      </c>
      <c r="I46" s="28" t="n">
        <v>49.1</v>
      </c>
      <c r="J46" s="28" t="n">
        <v>27.1</v>
      </c>
      <c r="K46" s="28" t="n">
        <v>43</v>
      </c>
      <c r="L46" s="28" t="n">
        <v>37</v>
      </c>
      <c r="M46" s="28" t="n">
        <v>36</v>
      </c>
      <c r="N46" s="28" t="n">
        <v>38</v>
      </c>
    </row>
    <row r="47">
      <c r="A47" s="3" t="inlineStr">
        <is>
          <t>Reading: Cane Ridge</t>
        </is>
      </c>
      <c r="B47" s="28" t="n">
        <v>42.9</v>
      </c>
      <c r="C47" s="28" t="n">
        <v>47.2</v>
      </c>
      <c r="D47" s="28" t="n">
        <v>54.5</v>
      </c>
      <c r="E47" s="28" t="n">
        <v>55.3</v>
      </c>
      <c r="F47" s="28" t="n">
        <v>59.3</v>
      </c>
      <c r="G47" s="28" t="n">
        <v>57.1</v>
      </c>
      <c r="H47" s="28" t="n">
        <v>52</v>
      </c>
      <c r="I47" s="28" t="n">
        <v>49.6</v>
      </c>
      <c r="J47" s="28" t="n">
        <v>26.5</v>
      </c>
      <c r="K47" s="28" t="n">
        <v>44</v>
      </c>
      <c r="L47" s="28" t="n">
        <v>40</v>
      </c>
      <c r="M47" s="28" t="n">
        <v>40</v>
      </c>
      <c r="N47" s="28" t="n">
        <v>37</v>
      </c>
    </row>
    <row r="48">
      <c r="A48" s="3" t="inlineStr">
        <is>
          <t>Reading: Paris Elementary</t>
        </is>
      </c>
      <c r="B48" s="28" t="n">
        <v>31</v>
      </c>
      <c r="C48" s="28" t="n">
        <v>34.1</v>
      </c>
      <c r="D48" s="28" t="n">
        <v>42.9</v>
      </c>
      <c r="E48" s="28" t="n">
        <v>38.9</v>
      </c>
      <c r="F48" s="28" t="n">
        <v>41.2</v>
      </c>
      <c r="G48" s="28" t="n">
        <v>34.3</v>
      </c>
      <c r="H48" s="28" t="n">
        <v>34.4</v>
      </c>
      <c r="I48" s="28" t="n">
        <v>35.3</v>
      </c>
      <c r="J48" s="28" t="n">
        <v>25</v>
      </c>
      <c r="K48" s="28" t="n">
        <v>28</v>
      </c>
      <c r="L48" s="28" t="n">
        <v>25</v>
      </c>
      <c r="M48" s="28" t="n">
        <v>30</v>
      </c>
      <c r="N48" s="28" t="n">
        <v>25</v>
      </c>
    </row>
    <row r="49">
      <c r="A49" s="3" t="inlineStr">
        <is>
          <t>Mathematics: North Middletown</t>
        </is>
      </c>
      <c r="B49" s="28" t="n">
        <v>53.2</v>
      </c>
      <c r="C49" s="28" t="n">
        <v>49.4</v>
      </c>
      <c r="D49" s="28" t="n">
        <v>55.3</v>
      </c>
      <c r="E49" s="28" t="n">
        <v>59.5</v>
      </c>
      <c r="F49" s="28" t="n">
        <v>62.1</v>
      </c>
      <c r="G49" s="28" t="n">
        <v>50.8</v>
      </c>
      <c r="H49" s="28" t="n">
        <v>47.9</v>
      </c>
      <c r="I49" s="28" t="n">
        <v>48.4</v>
      </c>
      <c r="J49" s="28" t="n">
        <v>17.9</v>
      </c>
      <c r="K49" s="28" t="n">
        <v>31</v>
      </c>
      <c r="L49" s="28" t="n">
        <v>30</v>
      </c>
      <c r="M49" s="28" t="n">
        <v>45</v>
      </c>
      <c r="N49" s="28" t="n">
        <v>31</v>
      </c>
    </row>
    <row r="50">
      <c r="A50" s="3" t="inlineStr">
        <is>
          <t>Mathematics: Bourbon Central</t>
        </is>
      </c>
      <c r="B50" s="28" t="n">
        <v>47.1</v>
      </c>
      <c r="C50" s="28" t="n">
        <v>47.4</v>
      </c>
      <c r="D50" s="28" t="n">
        <v>43</v>
      </c>
      <c r="E50" s="28" t="n">
        <v>43.6</v>
      </c>
      <c r="F50" s="28" t="n">
        <v>40</v>
      </c>
      <c r="G50" s="28" t="n">
        <v>43.5</v>
      </c>
      <c r="H50" s="28" t="n">
        <v>41.8</v>
      </c>
      <c r="I50" s="28" t="n">
        <v>45.1</v>
      </c>
      <c r="J50" s="28" t="n">
        <v>31.7</v>
      </c>
      <c r="K50" s="28" t="n">
        <v>27</v>
      </c>
      <c r="L50" s="28" t="n">
        <v>28</v>
      </c>
      <c r="M50" s="28" t="n">
        <v>23</v>
      </c>
      <c r="N50" s="28" t="n">
        <v>28</v>
      </c>
    </row>
    <row r="51">
      <c r="A51" s="3" t="inlineStr">
        <is>
          <t>Mathematics: Cane Ridge</t>
        </is>
      </c>
      <c r="B51" s="28" t="n">
        <v>33.3</v>
      </c>
      <c r="C51" s="28" t="n">
        <v>37.7</v>
      </c>
      <c r="D51" s="28" t="n">
        <v>43.1</v>
      </c>
      <c r="E51" s="28" t="n">
        <v>46.1</v>
      </c>
      <c r="F51" s="28" t="n">
        <v>54.4</v>
      </c>
      <c r="G51" s="28" t="n">
        <v>45.9</v>
      </c>
      <c r="H51" s="28" t="n">
        <v>41.5</v>
      </c>
      <c r="I51" s="28" t="n">
        <v>39</v>
      </c>
      <c r="J51" s="28" t="n">
        <v>25.2</v>
      </c>
      <c r="K51" s="28" t="n">
        <v>33</v>
      </c>
      <c r="L51" s="28" t="n">
        <v>35</v>
      </c>
      <c r="M51" s="28" t="n">
        <v>30</v>
      </c>
      <c r="N51" s="28" t="n">
        <v>27</v>
      </c>
    </row>
    <row r="52">
      <c r="A52" s="3" t="inlineStr">
        <is>
          <t>Mathematics: Paris Elementary</t>
        </is>
      </c>
      <c r="B52" s="28" t="n">
        <v>29.7</v>
      </c>
      <c r="C52" s="28" t="n">
        <v>25</v>
      </c>
      <c r="D52" s="28" t="n">
        <v>26.8</v>
      </c>
      <c r="E52" s="28" t="n">
        <v>22.9</v>
      </c>
      <c r="F52" s="28" t="n">
        <v>41.9</v>
      </c>
      <c r="G52" s="28" t="n">
        <v>28.7</v>
      </c>
      <c r="H52" s="28" t="n">
        <v>30</v>
      </c>
      <c r="I52" s="28" t="n">
        <v>32</v>
      </c>
      <c r="J52" s="28" t="n">
        <v>15.3</v>
      </c>
      <c r="K52" s="28" t="n">
        <v>23</v>
      </c>
      <c r="L52" s="28" t="n">
        <v>32</v>
      </c>
      <c r="M52" s="28" t="n">
        <v>27</v>
      </c>
      <c r="N52" s="28" t="n">
        <v>29</v>
      </c>
    </row>
    <row r="53">
      <c r="A53" s="21" t="inlineStr">
        <is>
          <t>NMES led the county in mathematics in every pre-COVID administration on record, 2011-12 through 2018-19: eight straight years.</t>
        </is>
      </c>
    </row>
    <row r="55">
      <c r="A55" s="22" t="inlineStr">
        <is>
          <t>Official overall score</t>
        </is>
      </c>
      <c r="B55" s="22" t="inlineStr">
        <is>
          <t>'11-12</t>
        </is>
      </c>
      <c r="C55" s="22" t="inlineStr">
        <is>
          <t>'12-13</t>
        </is>
      </c>
      <c r="D55" s="22" t="inlineStr">
        <is>
          <t>'13-14</t>
        </is>
      </c>
      <c r="E55" s="22" t="inlineStr">
        <is>
          <t>'14-15</t>
        </is>
      </c>
      <c r="F55" s="22" t="inlineStr">
        <is>
          <t>'15-16</t>
        </is>
      </c>
      <c r="G55" s="22" t="inlineStr">
        <is>
          <t>'16-17</t>
        </is>
      </c>
      <c r="H55" s="22" t="inlineStr">
        <is>
          <t>'17-18</t>
        </is>
      </c>
      <c r="I55" s="22" t="inlineStr">
        <is>
          <t>'18-19</t>
        </is>
      </c>
      <c r="J55" s="22" t="inlineStr">
        <is>
          <t>'20-21</t>
        </is>
      </c>
      <c r="K55" s="22" t="inlineStr">
        <is>
          <t>'21-22</t>
        </is>
      </c>
      <c r="L55" s="22" t="inlineStr">
        <is>
          <t>'22-23</t>
        </is>
      </c>
      <c r="M55" s="22" t="inlineStr">
        <is>
          <t>'23-24</t>
        </is>
      </c>
      <c r="N55" s="22"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28" t="n">
        <v>62.6</v>
      </c>
      <c r="C56" s="28" t="n">
        <v>68.8</v>
      </c>
      <c r="D56" s="28" t="n">
        <v>71.40000000000001</v>
      </c>
      <c r="E56" s="28" t="n">
        <v>72.09999999999999</v>
      </c>
      <c r="F56" s="28" t="n">
        <v>79.09999999999999</v>
      </c>
      <c r="K56" s="28" t="n">
        <v>51.9</v>
      </c>
      <c r="L56" s="28" t="n">
        <v>62.2</v>
      </c>
      <c r="M56" s="28" t="n">
        <v>74.5</v>
      </c>
      <c r="N56" s="28" t="n">
        <v>54</v>
      </c>
    </row>
    <row r="57">
      <c r="A57" s="3" t="inlineStr">
        <is>
          <t>Bourbon Central</t>
        </is>
      </c>
      <c r="B57" s="28" t="n">
        <v>63.2</v>
      </c>
      <c r="C57" s="28" t="n">
        <v>63</v>
      </c>
      <c r="D57" s="28" t="n">
        <v>69.8</v>
      </c>
      <c r="E57" s="28" t="n">
        <v>67.8</v>
      </c>
      <c r="F57" s="28" t="n">
        <v>56.8</v>
      </c>
      <c r="K57" s="28" t="n">
        <v>52.8</v>
      </c>
      <c r="L57" s="28" t="n">
        <v>56.7</v>
      </c>
      <c r="M57" s="28" t="n">
        <v>50.3</v>
      </c>
      <c r="N57" s="28" t="n">
        <v>55.4</v>
      </c>
    </row>
    <row r="58">
      <c r="A58" s="3" t="inlineStr">
        <is>
          <t>Cane Ridge</t>
        </is>
      </c>
      <c r="B58" s="28" t="n">
        <v>53.3</v>
      </c>
      <c r="C58" s="28" t="n">
        <v>58.9</v>
      </c>
      <c r="D58" s="28" t="n">
        <v>69.2</v>
      </c>
      <c r="E58" s="28" t="n">
        <v>68.5</v>
      </c>
      <c r="F58" s="28" t="n">
        <v>65.5</v>
      </c>
      <c r="K58" s="28" t="n">
        <v>54.3</v>
      </c>
      <c r="L58" s="28" t="n">
        <v>51.8</v>
      </c>
      <c r="M58" s="28" t="n">
        <v>60.7</v>
      </c>
      <c r="N58" s="28" t="n">
        <v>47.8</v>
      </c>
    </row>
    <row r="59">
      <c r="A59" s="3" t="inlineStr">
        <is>
          <t>Paris Elementary</t>
        </is>
      </c>
      <c r="B59" s="28" t="n">
        <v>48</v>
      </c>
      <c r="C59" s="28" t="n">
        <v>49.9</v>
      </c>
      <c r="D59" s="28" t="n">
        <v>59.4</v>
      </c>
      <c r="E59" s="28" t="n">
        <v>54.8</v>
      </c>
      <c r="F59" s="28" t="n">
        <v>69.59999999999999</v>
      </c>
      <c r="K59" s="28" t="n">
        <v>46.1</v>
      </c>
      <c r="L59" s="28" t="n">
        <v>45.9</v>
      </c>
      <c r="M59" s="28" t="n">
        <v>40.7</v>
      </c>
      <c r="N59" s="28"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52"/>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Rated capacity 549, reflecting the addition in the 2021 plan</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rated 549</t>
        </is>
      </c>
      <c r="B13" s="11">
        <f>549-Redistricting!B8</f>
        <v/>
      </c>
    </row>
    <row r="14">
      <c r="A14" s="3" t="inlineStr">
        <is>
          <t>Cane Ridge students over rated 422</t>
        </is>
      </c>
      <c r="B14" s="11">
        <f>Redistricting!B9-E8</f>
        <v/>
      </c>
    </row>
    <row r="15">
      <c r="A15" s="3" t="inlineStr">
        <is>
          <t>Net uncommitted seats at both receiving schools</t>
        </is>
      </c>
      <c r="B15" s="32">
        <f>B13-B14</f>
        <v/>
      </c>
    </row>
    <row r="16">
      <c r="A16" s="3" t="inlineStr">
        <is>
          <t>NMES students needing seats on closure</t>
        </is>
      </c>
      <c r="B16" s="25">
        <f>Assumptions!B11</f>
        <v/>
      </c>
    </row>
    <row r="17">
      <c r="A17" s="3" t="inlineStr">
        <is>
          <t>Shortfall if closure proceeds today</t>
        </is>
      </c>
      <c r="B17" s="32">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rated capacities are 549 (Bourbon Central) and 422 (Cane Ridge). At current enrollment that is 90 open at Bourbon Central and 31 over at Cane Ridge, a net 59 uncommitted seats for 128 children.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17" t="inlineStr">
        <is>
          <t>School</t>
        </is>
      </c>
      <c r="B29" s="17" t="inlineStr">
        <is>
          <t>2023-24 SAAR</t>
        </is>
      </c>
      <c r="C29" s="17" t="inlineStr">
        <is>
          <t>Draft capacity (KFICS)</t>
        </is>
      </c>
      <c r="D29" s="17" t="inlineStr">
        <is>
          <t>Change vs 2021 rating</t>
        </is>
      </c>
    </row>
    <row r="30">
      <c r="A30" s="3" t="inlineStr">
        <is>
          <t>Bourbon Central</t>
        </is>
      </c>
      <c r="B30" s="10" t="n">
        <v>491</v>
      </c>
      <c r="C30" s="10" t="n">
        <v>640</v>
      </c>
      <c r="D30" s="11">
        <f>C30-549</f>
        <v/>
      </c>
    </row>
    <row r="31">
      <c r="A31" s="3" t="inlineStr">
        <is>
          <t>Cane Ridge</t>
        </is>
      </c>
      <c r="B31" s="10" t="n">
        <v>461</v>
      </c>
      <c r="C31" s="10" t="n">
        <v>547</v>
      </c>
      <c r="D31" s="11">
        <f>C31-E8</f>
        <v/>
      </c>
    </row>
    <row r="32">
      <c r="A32" s="3" t="inlineStr">
        <is>
          <t>North Middletown</t>
        </is>
      </c>
      <c r="B32" s="25" t="n">
        <v>128</v>
      </c>
      <c r="C32" s="10" t="n">
        <v>154</v>
      </c>
      <c r="D32" s="11">
        <f>C32-E9</f>
        <v/>
      </c>
    </row>
    <row r="33">
      <c r="A33" s="3" t="inlineStr">
        <is>
          <t>Paper seats added at the receiving schools, with the draft's new-construction sections reading None</t>
        </is>
      </c>
      <c r="B33" s="32">
        <f>D30+D31</f>
        <v/>
      </c>
    </row>
    <row r="34">
      <c r="A34" s="3" t="inlineStr">
        <is>
          <t>NMES fill rate even at the draft's own 154 rating</t>
        </is>
      </c>
      <c r="B34" s="33">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17" t="inlineStr">
        <is>
          <t>Facility</t>
        </is>
      </c>
      <c r="B38" s="17" t="inlineStr">
        <is>
          <t>Condition need</t>
        </is>
      </c>
      <c r="C38" s="17" t="inlineStr">
        <is>
          <t>Instructional deficiency</t>
        </is>
      </c>
      <c r="D38" s="17" t="inlineStr">
        <is>
          <t>Total (as printed)</t>
        </is>
      </c>
      <c r="E38" s="17"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23">
        <f>SUM(D39:D45)</f>
        <v/>
      </c>
    </row>
    <row r="47">
      <c r="A47" s="3" t="inlineStr">
        <is>
          <t>Support facilities total (slide)</t>
        </is>
      </c>
      <c r="B47" s="8" t="n">
        <v>7089052</v>
      </c>
    </row>
    <row r="48">
      <c r="A48" s="3" t="inlineStr">
        <is>
          <t>District total need</t>
        </is>
      </c>
      <c r="B48" s="23">
        <f>B46+B47</f>
        <v/>
      </c>
    </row>
    <row r="49">
      <c r="A49" s="3" t="inlineStr">
        <is>
          <t>Receiving schools combined (Bourbon Central + Cane Ridge)</t>
        </is>
      </c>
      <c r="B49" s="23">
        <f>D41+D42</f>
        <v/>
      </c>
    </row>
    <row r="50">
      <c r="A50" s="3" t="inlineStr">
        <is>
          <t>Net receiving seats at the slides' own capacities (499 and 397)</t>
        </is>
      </c>
      <c r="B50" s="32">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(549 with addition, 422): three documents, three capacity sets for the same buildings. NMES total need is second lowest among the district's schools.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2026-07-21T00:47:38Z</dcterms:created>
  <dcterms:modified xsi:type="dcterms:W3CDTF">2026-07-21T00:47:38Z</dcterms:modified>
</cp:coreProperties>
</file>