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Growth_Model" sheetId="6" state="visible" r:id="rId6"/>
    <sheet xmlns:r="http://schemas.openxmlformats.org/officeDocument/2006/relationships" name="Redistricting" sheetId="7" state="visible" r:id="rId7"/>
    <sheet xmlns:r="http://schemas.openxmlformats.org/officeDocument/2006/relationships" name="Transport_Geo" sheetId="8" state="visible" r:id="rId8"/>
    <sheet xmlns:r="http://schemas.openxmlformats.org/officeDocument/2006/relationships" name="Alternatives" sheetId="9" state="visible" r:id="rId9"/>
    <sheet xmlns:r="http://schemas.openxmlformats.org/officeDocument/2006/relationships" name="Debt_Service" sheetId="10" state="visible" r:id="rId10"/>
    <sheet xmlns:r="http://schemas.openxmlformats.org/officeDocument/2006/relationships" name="Runway" sheetId="11" state="visible" r:id="rId11"/>
    <sheet xmlns:r="http://schemas.openxmlformats.org/officeDocument/2006/relationships" name="Scenarios" sheetId="12" state="visible" r:id="rId12"/>
    <sheet xmlns:r="http://schemas.openxmlformats.org/officeDocument/2006/relationships" name="Tax_History" sheetId="13" state="visible" r:id="rId13"/>
    <sheet xmlns:r="http://schemas.openxmlformats.org/officeDocument/2006/relationships" name="Demographics" sheetId="14" state="visible" r:id="rId14"/>
    <sheet xmlns:r="http://schemas.openxmlformats.org/officeDocument/2006/relationships" name="School_Data" sheetId="15" state="visible" r:id="rId15"/>
    <sheet xmlns:r="http://schemas.openxmlformats.org/officeDocument/2006/relationships" name="Facility_Plans" sheetId="16" state="visible" r:id="rId16"/>
    <sheet xmlns:r="http://schemas.openxmlformats.org/officeDocument/2006/relationships" name="KY_Closures" sheetId="17" state="visible" r:id="rId17"/>
    <sheet xmlns:r="http://schemas.openxmlformats.org/officeDocument/2006/relationships" name="School_Costs" sheetId="18" state="visible" r:id="rId18"/>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(v4.6,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leaver table, both calculator defaults, the plan floor/default/top, Eminence, the ledger breakevens) as live formulas: Defaults tab.</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0"/>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our mid-range leaver and busing estimates</t>
        </is>
      </c>
      <c r="B34" s="19">
        <f>B17+C17-63000-38*(Assumptions!B6+500)</f>
        <v/>
      </c>
      <c r="F34" s="21">
        <f> $127,039 kept, minus $63,000 of busing, minus 38 leavers (30 percent) at $5,126: the published -$130,749, the 26th percentile of the 5,832-scenario grid; the weighted median is a $20,007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9">
        <f>C72</f>
        <v/>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c r="D75" s="9">
        <f>D72-D73</f>
        <v/>
      </c>
    </row>
    <row r="76">
      <c r="A76" s="20" t="inlineStr">
        <is>
          <t>Drawdown per dollar spent (the burn rate)</t>
        </is>
      </c>
      <c r="B76" s="17">
        <f>B75/B69</f>
        <v/>
      </c>
      <c r="C76" s="17">
        <f>C75/C69</f>
        <v/>
      </c>
      <c r="D76" s="17">
        <f>D75/D69</f>
        <v/>
      </c>
    </row>
    <row r="77">
      <c r="A77" s="20" t="inlineStr">
        <is>
          <t>Years of cushion at that burn rate</t>
        </is>
      </c>
      <c r="B77" s="24">
        <f>B73/B75</f>
        <v/>
      </c>
      <c r="C77" s="24">
        <f>C73/C75</f>
        <v/>
      </c>
      <c r="D77" s="24">
        <f>D73/D75</f>
        <v/>
      </c>
      <c r="F77" s="2" t="inlineStr">
        <is>
          <t>Published: Bourbon roughly three and a half years of cushion at its current burn; Fayette essentially none, which is why it approved borrowing up to $95 million to reach fall tax collections</t>
        </is>
      </c>
    </row>
    <row r="78">
      <c r="A78" s="3" t="inlineStr">
        <is>
          <t>Restatement: audited ending balance less the adjusted ending balance</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5,832-scenario grid at row 37, median a $20,007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grid's best case (every lever at its closure-friendliest),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later corroborated as 2023-24 SAAR in the 2026 draft plan,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-$20,007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-20007</v>
      </c>
      <c r="C6" s="9">
        <f>Runway!E7</f>
        <v/>
      </c>
      <c r="D6" s="2" t="inlineStr">
        <is>
          <t>Unpublished</t>
        </is>
      </c>
      <c r="E6" s="2" t="inlineStr">
        <is>
          <t>Closure vote; the weighted median LOSES $20,007 a year (B6 is the grid median; the legacy single-point Closure_Model!B20 is superseded); the legacy base case covers 9.1% of the $2.65M gap, the grid central case 2.0%, and the +$484,582 best-case tail 18.3%; longer rides;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2023-24 SAAR</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2026-08-04T01:19:20Z</dcterms:created>
  <dcterms:modified xmlns:dcterms="http://purl.org/dc/terms/" xmlns:xsi="http://www.w3.org/2001/XMLSchema-instance" xsi:type="dcterms:W3CDTF">2026-08-04T01:19:20Z</dcterms:modified>
</cp:coreProperties>
</file>